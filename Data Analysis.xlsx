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2.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drawings/drawing5.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drawings/drawing6.xml" ContentType="application/vnd.openxmlformats-officedocument.drawingml.chartshapes+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7.xml" ContentType="application/vnd.openxmlformats-officedocument.drawingml.chartshapes+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8.xml" ContentType="application/vnd.openxmlformats-officedocument.drawingml.chartshapes+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afzal\OneDrive\Desktop\"/>
    </mc:Choice>
  </mc:AlternateContent>
  <xr:revisionPtr revIDLastSave="0" documentId="13_ncr:1_{76CA4FD8-2214-426B-B323-E7EBE95A1003}" xr6:coauthVersionLast="47" xr6:coauthVersionMax="47" xr10:uidLastSave="{00000000-0000-0000-0000-000000000000}"/>
  <bookViews>
    <workbookView xWindow="-120" yWindow="-120" windowWidth="29040" windowHeight="15720" activeTab="8" xr2:uid="{145D1682-64E5-40AA-B84C-6BF0CAE3A89A}"/>
  </bookViews>
  <sheets>
    <sheet name="Detail1" sheetId="10" r:id="rId1"/>
    <sheet name="Survival" sheetId="3" r:id="rId2"/>
    <sheet name="class" sheetId="4" r:id="rId3"/>
    <sheet name="Sheet4" sheetId="5" r:id="rId4"/>
    <sheet name="gender" sheetId="6" r:id="rId5"/>
    <sheet name="Sheet6" sheetId="7" r:id="rId6"/>
    <sheet name="Sheet2" sheetId="11" r:id="rId7"/>
    <sheet name="Titanic Clean DataSet" sheetId="2" r:id="rId8"/>
    <sheet name="Sheet1" sheetId="9" r:id="rId9"/>
  </sheets>
  <definedNames>
    <definedName name="ExternalData_1" localSheetId="7" hidden="1">'Titanic Clean DataSet'!$A$1:$E$1310</definedName>
    <definedName name="Slicer_new_ageCustom">#N/A</definedName>
    <definedName name="Slicer_new_pclass">#N/A</definedName>
    <definedName name="Slicer_sex">#N/A</definedName>
  </definedNames>
  <calcPr calcId="191029"/>
  <pivotCaches>
    <pivotCache cacheId="23"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 i="3" l="1"/>
  <c r="G4" i="3"/>
  <c r="B8"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4A6260D-7A54-49F3-93BE-7A91198E37FA}" keepAlive="1" name="Query - Titanic Clean DataSet" description="Connection to the 'Titanic Clean DataSet' query in the workbook." type="5" refreshedVersion="8" background="1" saveData="1">
    <dbPr connection="Provider=Microsoft.Mashup.OleDb.1;Data Source=$Workbook$;Location=&quot;Titanic Clean DataSet&quot;;Extended Properties=&quot;&quot;" command="SELECT * FROM [Titanic Clean DataSet]"/>
  </connection>
</connections>
</file>

<file path=xl/sharedStrings.xml><?xml version="1.0" encoding="utf-8"?>
<sst xmlns="http://schemas.openxmlformats.org/spreadsheetml/2006/main" count="7118" uniqueCount="1335">
  <si>
    <t>Index</t>
  </si>
  <si>
    <t>new pclass</t>
  </si>
  <si>
    <t>new_survived</t>
  </si>
  <si>
    <t>sex</t>
  </si>
  <si>
    <t>new_ageCustom</t>
  </si>
  <si>
    <t>1</t>
  </si>
  <si>
    <t>First Class</t>
  </si>
  <si>
    <t>Survived</t>
  </si>
  <si>
    <t>female</t>
  </si>
  <si>
    <t>19-29 years</t>
  </si>
  <si>
    <t>2</t>
  </si>
  <si>
    <t>male</t>
  </si>
  <si>
    <t>0-9 years</t>
  </si>
  <si>
    <t>3</t>
  </si>
  <si>
    <t>Not Survived</t>
  </si>
  <si>
    <t>4</t>
  </si>
  <si>
    <t>29-39 years</t>
  </si>
  <si>
    <t>5</t>
  </si>
  <si>
    <t>6</t>
  </si>
  <si>
    <t>39-49 years</t>
  </si>
  <si>
    <t>7</t>
  </si>
  <si>
    <t>59-69 years</t>
  </si>
  <si>
    <t>8</t>
  </si>
  <si>
    <t>9</t>
  </si>
  <si>
    <t>49-59 years</t>
  </si>
  <si>
    <t>10</t>
  </si>
  <si>
    <t>69-79 years</t>
  </si>
  <si>
    <t>11</t>
  </si>
  <si>
    <t>12</t>
  </si>
  <si>
    <t>10-19 years</t>
  </si>
  <si>
    <t>13</t>
  </si>
  <si>
    <t>14</t>
  </si>
  <si>
    <t>15</t>
  </si>
  <si>
    <t>79-89 years</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</si>
  <si>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</si>
  <si>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</si>
  <si>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</si>
  <si>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</si>
  <si>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</si>
  <si>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</si>
  <si>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</si>
  <si>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</si>
  <si>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</si>
  <si>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</si>
  <si>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</si>
  <si>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</si>
  <si>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</si>
  <si>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</si>
  <si>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</si>
  <si>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</si>
  <si>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</si>
  <si>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</si>
  <si>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</si>
  <si>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</si>
  <si>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</si>
  <si>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</si>
  <si>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</si>
  <si>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</si>
  <si>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</si>
  <si>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</si>
  <si>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</si>
  <si>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</si>
  <si>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</si>
  <si>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</si>
  <si>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</si>
  <si>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</si>
  <si>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</si>
  <si>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</si>
  <si>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</si>
  <si>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</si>
  <si>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</si>
  <si>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</si>
  <si>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</si>
  <si>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</si>
  <si>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</si>
  <si>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</si>
  <si>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</si>
  <si>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</si>
  <si>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</si>
  <si>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</si>
  <si>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</si>
  <si>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</si>
  <si>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</si>
  <si>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</si>
  <si>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</si>
  <si>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</si>
  <si>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</si>
  <si>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</si>
  <si>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</si>
  <si>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</si>
  <si>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</si>
  <si>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</si>
  <si>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</si>
  <si>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</si>
  <si>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</si>
  <si>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</si>
  <si>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</si>
  <si>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</si>
  <si>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</si>
  <si>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</si>
  <si>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</si>
  <si>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</si>
  <si>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</si>
  <si>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</si>
  <si>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</si>
  <si>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</si>
  <si>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</si>
  <si>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</si>
  <si>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</si>
  <si>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</si>
  <si>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</si>
  <si>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</si>
  <si>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</si>
  <si>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</si>
  <si>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</si>
  <si>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</si>
  <si>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</si>
  <si>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</si>
  <si>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</si>
  <si>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</si>
  <si>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</si>
  <si>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</si>
  <si>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</si>
  <si>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</si>
  <si>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</si>
  <si>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</si>
  <si>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</si>
  <si>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</si>
  <si>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</si>
  <si>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</si>
  <si>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</si>
  <si>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</si>
  <si>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</si>
  <si>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</si>
  <si>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</si>
  <si>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</si>
  <si>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</si>
  <si>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</si>
  <si>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</si>
  <si>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</si>
  <si>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</si>
  <si>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</si>
  <si>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</si>
  <si>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</si>
  <si>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</si>
  <si>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</si>
  <si>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</si>
  <si>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</si>
  <si>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</si>
  <si>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</si>
  <si>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</si>
  <si>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</si>
  <si>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</si>
  <si>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</si>
  <si>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</si>
  <si>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</si>
  <si>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</si>
  <si>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</si>
  <si>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</si>
  <si>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</si>
  <si>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</si>
  <si>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</si>
  <si>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</si>
  <si>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</si>
  <si>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</si>
  <si>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</si>
  <si>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</si>
  <si>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</si>
  <si>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</si>
  <si>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</si>
  <si>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</si>
  <si>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</si>
  <si>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</si>
  <si>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</si>
  <si>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</si>
  <si>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</si>
  <si>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</si>
  <si>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</si>
  <si>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</si>
  <si>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</si>
  <si>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</si>
  <si>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</si>
  <si>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</si>
  <si>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</si>
  <si>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</si>
  <si>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</si>
  <si>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</si>
  <si>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</si>
  <si>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</si>
  <si>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</si>
  <si>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</si>
  <si>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</si>
  <si>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</si>
  <si>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</si>
  <si>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</si>
  <si>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</si>
  <si>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</si>
  <si>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</si>
  <si>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</si>
  <si>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</si>
  <si>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</si>
  <si>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</si>
  <si>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</si>
  <si>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</si>
  <si>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</si>
  <si>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</si>
  <si>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</si>
  <si>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</si>
  <si>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</si>
  <si>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</si>
  <si>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</si>
  <si>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</si>
  <si>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</si>
  <si>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</si>
  <si>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</si>
  <si>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</si>
  <si>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</si>
  <si>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</si>
  <si>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</si>
  <si>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</si>
  <si>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</si>
  <si>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</si>
  <si>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</si>
  <si>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</si>
  <si>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</si>
  <si>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</si>
  <si>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</si>
  <si>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</si>
  <si>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</si>
  <si>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</si>
  <si>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</si>
  <si>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</si>
  <si>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</si>
  <si>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</si>
  <si>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</si>
  <si>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</si>
  <si>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</si>
  <si>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</si>
  <si>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</si>
  <si>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</si>
  <si>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</si>
  <si>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</si>
  <si>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</si>
  <si>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</si>
  <si>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</si>
  <si>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</si>
  <si>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</si>
  <si>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</si>
  <si>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</si>
  <si>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</si>
  <si>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</si>
  <si>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</si>
  <si>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</si>
  <si>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</si>
  <si>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</si>
  <si>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</si>
  <si>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</si>
  <si>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</si>
  <si>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</si>
  <si>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</si>
  <si>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</si>
  <si>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</si>
  <si>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</si>
  <si>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</si>
  <si>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</si>
  <si>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</si>
  <si>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</si>
  <si>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</si>
  <si>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</si>
  <si>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</si>
  <si>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</si>
  <si>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</si>
  <si>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</si>
  <si>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</si>
  <si>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</si>
  <si>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</si>
  <si>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</si>
  <si>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</si>
  <si>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</si>
  <si>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</si>
  <si>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</si>
  <si>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</si>
  <si>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</si>
  <si>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</si>
  <si>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</si>
  <si>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</si>
  <si>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</si>
  <si>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</si>
  <si>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</si>
  <si>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</si>
  <si>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</si>
  <si>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</si>
  <si>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</si>
  <si>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</si>
  <si>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</si>
  <si>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</si>
  <si>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</si>
  <si>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</si>
  <si>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</si>
  <si>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</si>
  <si>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</si>
  <si>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</si>
  <si>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</si>
  <si>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</si>
  <si>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</si>
  <si>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</si>
  <si>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</si>
  <si>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</si>
  <si>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</si>
  <si>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</si>
  <si>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</si>
  <si>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</si>
  <si>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</si>
  <si>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</si>
  <si>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</si>
  <si>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</si>
  <si>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</si>
  <si>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</si>
  <si>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</si>
  <si>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</si>
  <si>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</si>
  <si>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</si>
  <si>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</si>
  <si>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</si>
  <si>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</si>
  <si>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</si>
  <si>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</si>
  <si>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</si>
  <si>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</si>
  <si>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</si>
  <si>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</si>
  <si>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</si>
  <si>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</si>
  <si>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</si>
  <si>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</si>
  <si>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</si>
  <si>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</si>
  <si>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</si>
  <si>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</si>
  <si>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</si>
  <si>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</si>
  <si>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</si>
  <si>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</si>
  <si>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Middle Class</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</si>
  <si>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</si>
  <si>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</si>
  <si>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</si>
  <si>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</si>
  <si>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</si>
  <si>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</si>
  <si>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</si>
  <si>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</si>
  <si>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</si>
  <si>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</si>
  <si>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</si>
  <si>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</si>
  <si>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</si>
  <si>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</si>
  <si>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</si>
  <si>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</si>
  <si>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</si>
  <si>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</si>
  <si>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</si>
  <si>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</si>
  <si>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</si>
  <si>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</si>
  <si>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</si>
  <si>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</si>
  <si>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</si>
  <si>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</si>
  <si>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</si>
  <si>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</si>
  <si>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</si>
  <si>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</si>
  <si>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</si>
  <si>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</si>
  <si>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</si>
  <si>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</si>
  <si>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</si>
  <si>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</si>
  <si>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</si>
  <si>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</si>
  <si>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</si>
  <si>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</si>
  <si>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</si>
  <si>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</si>
  <si>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</si>
  <si>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</si>
  <si>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</si>
  <si>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</si>
  <si>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</si>
  <si>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</si>
  <si>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</si>
  <si>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</si>
  <si>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</si>
  <si>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</si>
  <si>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</si>
  <si>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</si>
  <si>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</si>
  <si>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</si>
  <si>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</si>
  <si>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</si>
  <si>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</si>
  <si>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</si>
  <si>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</si>
  <si>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</si>
  <si>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</si>
  <si>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</si>
  <si>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</si>
  <si>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</si>
  <si>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</si>
  <si>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</si>
  <si>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</si>
  <si>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</si>
  <si>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</si>
  <si>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</si>
  <si>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</si>
  <si>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</si>
  <si>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</si>
  <si>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</si>
  <si>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</si>
  <si>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</si>
  <si>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</si>
  <si>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</si>
  <si>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</si>
  <si>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</si>
  <si>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</si>
  <si>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</si>
  <si>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</si>
  <si>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</si>
  <si>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</si>
  <si>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</si>
  <si>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</si>
  <si>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</si>
  <si>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</si>
  <si>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</si>
  <si>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</si>
  <si>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</si>
  <si>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</si>
  <si>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</si>
  <si>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</si>
  <si>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</si>
  <si>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</si>
  <si>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</si>
  <si>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</si>
  <si>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</si>
  <si>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</si>
  <si>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</si>
  <si>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</si>
  <si>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</si>
  <si>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</si>
  <si>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</si>
  <si>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</si>
  <si>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</si>
  <si>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</si>
  <si>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</si>
  <si>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</si>
  <si>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</si>
  <si>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</si>
  <si>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</si>
  <si>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</si>
  <si>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</si>
  <si>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</si>
  <si>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</si>
  <si>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</si>
  <si>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</si>
  <si>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</si>
  <si>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</si>
  <si>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</si>
  <si>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</si>
  <si>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</si>
  <si>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</si>
  <si>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</si>
  <si>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</si>
  <si>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</si>
  <si>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</si>
  <si>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</si>
  <si>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</si>
  <si>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</si>
  <si>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</si>
  <si>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</si>
  <si>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</si>
  <si>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</si>
  <si>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</si>
  <si>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</si>
  <si>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</si>
  <si>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</si>
  <si>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</si>
  <si>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</si>
  <si>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</si>
  <si>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</si>
  <si>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</si>
  <si>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</si>
  <si>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</si>
  <si>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</si>
  <si>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</si>
  <si>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</si>
  <si>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</si>
  <si>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</si>
  <si>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</si>
  <si>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</si>
  <si>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</si>
  <si>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</si>
  <si>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</si>
  <si>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</si>
  <si>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</si>
  <si>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</si>
  <si>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</si>
  <si>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</si>
  <si>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</si>
  <si>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</si>
  <si>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</si>
  <si>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</si>
  <si>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</si>
  <si>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</si>
  <si>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</si>
  <si>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</si>
  <si>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</si>
  <si>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</si>
  <si>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</si>
  <si>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</si>
  <si>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</si>
  <si>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</si>
  <si>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</si>
  <si>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</si>
  <si>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</si>
  <si>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</si>
  <si>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</si>
  <si>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</si>
  <si>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</si>
  <si>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</si>
  <si>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</si>
  <si>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</si>
  <si>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</si>
  <si>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</si>
  <si>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</si>
  <si>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</si>
  <si>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</si>
  <si>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</si>
  <si>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</si>
  <si>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</si>
  <si>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</si>
  <si>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</si>
  <si>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</si>
  <si>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</si>
  <si>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</si>
  <si>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</si>
  <si>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</si>
  <si>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</si>
  <si>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</si>
  <si>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</si>
  <si>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</si>
  <si>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</si>
  <si>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</si>
  <si>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</si>
  <si>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</si>
  <si>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</si>
  <si>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</si>
  <si>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</si>
  <si>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</si>
  <si>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</si>
  <si>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</si>
  <si>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</si>
  <si>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</si>
  <si>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</si>
  <si>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</si>
  <si>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</si>
  <si>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</si>
  <si>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</si>
  <si>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</si>
  <si>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</si>
  <si>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</si>
  <si>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</si>
  <si>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</si>
  <si>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</si>
  <si>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</si>
  <si>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</si>
  <si>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</si>
  <si>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</si>
  <si>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</si>
  <si>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</si>
  <si>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</si>
  <si>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</si>
  <si>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</si>
  <si>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</si>
  <si>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</si>
  <si>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</si>
  <si>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</si>
  <si>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</si>
  <si>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</si>
  <si>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</si>
  <si>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</si>
  <si>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</si>
  <si>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</si>
  <si>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</si>
  <si>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</si>
  <si>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</si>
  <si>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</si>
  <si>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</si>
  <si>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</si>
  <si>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</si>
  <si>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</si>
  <si>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</si>
  <si>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</si>
  <si>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</si>
  <si>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</si>
  <si>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</si>
  <si>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</si>
  <si>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</si>
  <si>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</si>
  <si>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</si>
  <si>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</si>
  <si>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</si>
  <si>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</si>
  <si>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</si>
  <si>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</si>
  <si>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</si>
  <si>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</si>
  <si>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</si>
  <si>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</si>
  <si>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</si>
  <si>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Low Class</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</si>
  <si>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</si>
  <si>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</si>
  <si>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</si>
  <si>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</si>
  <si>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</si>
  <si>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</si>
  <si>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</si>
  <si>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</si>
  <si>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</si>
  <si>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</si>
  <si>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</si>
  <si>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</si>
  <si>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</si>
  <si>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</si>
  <si>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</si>
  <si>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</si>
  <si>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</si>
  <si>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</si>
  <si>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</si>
  <si>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</si>
  <si>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</si>
  <si>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</si>
  <si>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</si>
  <si>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</si>
  <si>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</si>
  <si>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</si>
  <si>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</si>
  <si>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</si>
  <si>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</si>
  <si>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</si>
  <si>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</si>
  <si>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</si>
  <si>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</si>
  <si>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</si>
  <si>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</si>
  <si>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</si>
  <si>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</si>
  <si>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</si>
  <si>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</si>
  <si>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</si>
  <si>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</si>
  <si>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</si>
  <si>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</si>
  <si>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</si>
  <si>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</si>
  <si>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</si>
  <si>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</si>
  <si>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</si>
  <si>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</si>
  <si>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</si>
  <si>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</si>
  <si>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</si>
  <si>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</si>
  <si>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</si>
  <si>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</si>
  <si>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</si>
  <si>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</si>
  <si>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</si>
  <si>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</si>
  <si>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</si>
  <si>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</si>
  <si>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</si>
  <si>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</si>
  <si>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</si>
  <si>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</si>
  <si>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</si>
  <si>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</si>
  <si>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</si>
  <si>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</si>
  <si>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</si>
  <si>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</si>
  <si>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</si>
  <si>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</si>
  <si>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</si>
  <si>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</si>
  <si>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</si>
  <si>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</si>
  <si>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</si>
  <si>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</si>
  <si>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</si>
  <si>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</si>
  <si>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</si>
  <si>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</si>
  <si>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</si>
  <si>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</si>
  <si>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</si>
  <si>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</si>
  <si>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</si>
  <si>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</si>
  <si>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</si>
  <si>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</si>
  <si>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</si>
  <si>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</si>
  <si>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</si>
  <si>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</si>
  <si>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</si>
  <si>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</si>
  <si>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</si>
  <si>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</si>
  <si>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</si>
  <si>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</si>
  <si>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</si>
  <si>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</si>
  <si>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</si>
  <si>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</si>
  <si>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</si>
  <si>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</si>
  <si>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</si>
  <si>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</si>
  <si>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</si>
  <si>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</si>
  <si>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</si>
  <si>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</si>
  <si>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</si>
  <si>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</si>
  <si>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</si>
  <si>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</si>
  <si>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</si>
  <si>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</si>
  <si>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</si>
  <si>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</si>
  <si>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</si>
  <si>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</si>
  <si>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</si>
  <si>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</si>
  <si>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</si>
  <si>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</si>
  <si>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</si>
  <si>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</si>
  <si>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</si>
  <si>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</si>
  <si>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</si>
  <si>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</si>
  <si>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</si>
  <si>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</si>
  <si>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</si>
  <si>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</si>
  <si>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</si>
  <si>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</si>
  <si>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</si>
  <si>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</si>
  <si>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</si>
  <si>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</si>
  <si>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</si>
  <si>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</si>
  <si>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</si>
  <si>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</si>
  <si>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</si>
  <si>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</si>
  <si>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</si>
  <si>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</si>
  <si>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</si>
  <si>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</si>
  <si>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</si>
  <si>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</si>
  <si>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</si>
  <si>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</si>
  <si>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</si>
  <si>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</si>
  <si>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</si>
  <si>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</si>
  <si>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</si>
  <si>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</si>
  <si>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</si>
  <si>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</si>
  <si>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</si>
  <si>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</si>
  <si>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</si>
  <si>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</si>
  <si>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</si>
  <si>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</si>
  <si>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</si>
  <si>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</si>
  <si>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</si>
  <si>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</si>
  <si>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</si>
  <si>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</si>
  <si>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</si>
  <si>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</si>
  <si>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</si>
  <si>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</si>
  <si>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</si>
  <si>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</si>
  <si>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</si>
  <si>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</si>
  <si>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</si>
  <si>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</si>
  <si>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</si>
  <si>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</si>
  <si>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</si>
  <si>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</si>
  <si>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</si>
  <si>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</si>
  <si>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</si>
  <si>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</si>
  <si>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</si>
  <si>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</si>
  <si>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</si>
  <si>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</si>
  <si>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</si>
  <si>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</si>
  <si>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</si>
  <si>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</si>
  <si>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</si>
  <si>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</si>
  <si>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</si>
  <si>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</si>
  <si>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</si>
  <si>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</si>
  <si>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</si>
  <si>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</si>
  <si>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</si>
  <si>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</si>
  <si>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</si>
  <si>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</si>
  <si>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</si>
  <si>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</si>
  <si>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</si>
  <si>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</si>
  <si>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</si>
  <si>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</si>
  <si>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</si>
  <si>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</si>
  <si>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</si>
  <si>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</si>
  <si>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</si>
  <si>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</si>
  <si>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</si>
  <si>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</si>
  <si>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</si>
  <si>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</si>
  <si>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</si>
  <si>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</si>
  <si>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</si>
  <si>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</si>
  <si>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</si>
  <si>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</si>
  <si>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</si>
  <si>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</si>
  <si>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</si>
  <si>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</si>
  <si>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</si>
  <si>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</si>
  <si>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</si>
  <si>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</si>
  <si>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</si>
  <si>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</si>
  <si>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</si>
  <si>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</si>
  <si>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</si>
  <si>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</si>
  <si>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</si>
  <si>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</si>
  <si>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</si>
  <si>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</si>
  <si>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</si>
  <si>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</si>
  <si>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</si>
  <si>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</si>
  <si>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</si>
  <si>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</si>
  <si>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</si>
  <si>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</si>
  <si>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</si>
  <si>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</si>
  <si>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</si>
  <si>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</si>
  <si>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</si>
  <si>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</si>
  <si>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</si>
  <si>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</si>
  <si>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</si>
  <si>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</si>
  <si>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</si>
  <si>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</si>
  <si>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</si>
  <si>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</si>
  <si>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</si>
  <si>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</si>
  <si>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</si>
  <si>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</si>
  <si>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</si>
  <si>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</si>
  <si>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</si>
  <si>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</si>
  <si>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</si>
  <si>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</si>
  <si>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</si>
  <si>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</si>
  <si>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</si>
  <si>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</si>
  <si>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</si>
  <si>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</si>
  <si>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</si>
  <si>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</si>
  <si>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</si>
  <si>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</si>
  <si>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</si>
  <si>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</si>
  <si>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</si>
  <si>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</si>
  <si>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</si>
  <si>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</si>
  <si>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</si>
  <si>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</si>
  <si>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</si>
  <si>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</si>
  <si>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</si>
  <si>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</si>
  <si>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</si>
  <si>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</si>
  <si>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</si>
  <si>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</si>
  <si>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</si>
  <si>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</si>
  <si>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</si>
  <si>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</si>
  <si>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</si>
  <si>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</si>
  <si>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</si>
  <si>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</si>
  <si>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</si>
  <si>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</si>
  <si>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</si>
  <si>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</si>
  <si>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</si>
  <si>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</si>
  <si>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</si>
  <si>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</si>
  <si>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</si>
  <si>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</si>
  <si>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</si>
  <si>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</si>
  <si>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</si>
  <si>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</si>
  <si>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</si>
  <si>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</si>
  <si>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</si>
  <si>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</si>
  <si>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</si>
  <si>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</si>
  <si>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</si>
  <si>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</si>
  <si>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</si>
  <si>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</si>
  <si>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</si>
  <si>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</si>
  <si>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</si>
  <si>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</si>
  <si>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</si>
  <si>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</si>
  <si>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</si>
  <si>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</si>
  <si>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</si>
  <si>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</si>
  <si>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</si>
  <si>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</si>
  <si>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</si>
  <si>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</si>
  <si>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</si>
  <si>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</si>
  <si>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</si>
  <si>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</si>
  <si>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</si>
  <si>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</si>
  <si>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</si>
  <si>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</si>
  <si>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</si>
  <si>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</si>
  <si>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</si>
  <si>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</si>
  <si>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</si>
  <si>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</si>
  <si>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</si>
  <si>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</si>
  <si>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</si>
  <si>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</si>
  <si>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</si>
  <si>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</si>
  <si>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</si>
  <si>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</si>
  <si>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</si>
  <si>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</si>
  <si>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</si>
  <si>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</si>
  <si>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</si>
  <si>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</si>
  <si>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</si>
  <si>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</si>
  <si>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</si>
  <si>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</si>
  <si>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</si>
  <si>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</si>
  <si>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</si>
  <si>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</si>
  <si>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</si>
  <si>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</si>
  <si>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</si>
  <si>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</si>
  <si>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</si>
  <si>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</si>
  <si>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</si>
  <si>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</si>
  <si>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</si>
  <si>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</si>
  <si>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</si>
  <si>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</si>
  <si>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</si>
  <si>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</si>
  <si>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</si>
  <si>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</si>
  <si>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</si>
  <si>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</si>
  <si>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</si>
  <si>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</si>
  <si>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</si>
  <si>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</si>
  <si>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</si>
  <si>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</si>
  <si>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</si>
  <si>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</si>
  <si>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</si>
  <si>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</si>
  <si>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</si>
  <si>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</si>
  <si>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</si>
  <si>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</si>
  <si>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</si>
  <si>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</si>
  <si>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</si>
  <si>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</si>
  <si>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</si>
  <si>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</si>
  <si>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</si>
  <si>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</si>
  <si>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</si>
  <si>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</si>
  <si>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</si>
  <si>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</si>
  <si>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</si>
  <si>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</si>
  <si>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</si>
  <si>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</si>
  <si>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</si>
  <si>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</si>
  <si>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</si>
  <si>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</si>
  <si>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</si>
  <si>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</si>
  <si>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</si>
  <si>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</si>
  <si>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</si>
  <si>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</si>
  <si>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</si>
  <si>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</si>
  <si>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</si>
  <si>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</si>
  <si>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</si>
  <si>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</si>
  <si>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</si>
  <si>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</si>
  <si>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</si>
  <si>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</si>
  <si>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</si>
  <si>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</si>
  <si>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</si>
  <si>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</si>
  <si>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</si>
  <si>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</si>
  <si>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</si>
  <si>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</si>
  <si>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</si>
  <si>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</si>
  <si>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</si>
  <si>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</si>
  <si>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</si>
  <si>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</si>
  <si>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</si>
  <si>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</si>
  <si>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</si>
  <si>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</si>
  <si>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</si>
  <si>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</si>
  <si>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</si>
  <si>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</si>
  <si>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</si>
  <si>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</si>
  <si>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</si>
  <si>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</si>
  <si>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</si>
  <si>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</si>
  <si>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</si>
  <si>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</si>
  <si>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</si>
  <si>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</si>
  <si>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</si>
  <si>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</si>
  <si>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</si>
  <si>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</si>
  <si>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</si>
  <si>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</si>
  <si>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</si>
  <si>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</si>
  <si>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</si>
  <si>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</si>
  <si>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</si>
  <si>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</si>
  <si>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</si>
  <si>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</si>
  <si>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</si>
  <si>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</si>
  <si>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</si>
  <si>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</si>
  <si>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</si>
  <si>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</si>
  <si>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</si>
  <si>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</si>
  <si>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</si>
  <si>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</si>
  <si>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</si>
  <si>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</si>
  <si>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</si>
  <si>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</si>
  <si>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</si>
  <si>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</si>
  <si>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</si>
  <si>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</si>
  <si>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</si>
  <si>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</si>
  <si>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</si>
  <si>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</si>
  <si>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</si>
  <si>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</si>
  <si>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</si>
  <si>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</si>
  <si>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</si>
  <si>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</si>
  <si>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</si>
  <si>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</si>
  <si>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</si>
  <si>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</si>
  <si>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</si>
  <si>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</si>
  <si>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</si>
  <si>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</si>
  <si>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</si>
  <si>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</si>
  <si>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</si>
  <si>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</si>
  <si>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</si>
  <si>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</si>
  <si>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</si>
  <si>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</si>
  <si>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</si>
  <si>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</si>
  <si>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</si>
  <si>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</si>
  <si>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</si>
  <si>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</si>
  <si>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</si>
  <si>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</si>
  <si>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</si>
  <si>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</si>
  <si>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</si>
  <si>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</si>
  <si>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</si>
  <si>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</si>
  <si>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</si>
  <si>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</si>
  <si>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</si>
  <si>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</si>
  <si>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</si>
  <si>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</si>
  <si>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</si>
  <si>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</si>
  <si>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</si>
  <si>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</si>
  <si>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</si>
  <si>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</si>
  <si>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</si>
  <si>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</si>
  <si>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</si>
  <si>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</si>
  <si>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</si>
  <si>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</si>
  <si>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</si>
  <si>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</si>
  <si>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</si>
  <si>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</si>
  <si>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</si>
  <si>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</si>
  <si>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</si>
  <si>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</si>
  <si>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</si>
  <si>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</si>
  <si>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</si>
  <si>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</si>
  <si>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</si>
  <si>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</si>
  <si>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</si>
  <si>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</si>
  <si>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</si>
  <si>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</si>
  <si>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</si>
  <si>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</si>
  <si>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</si>
  <si>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</si>
  <si>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</si>
  <si>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</si>
  <si>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</si>
  <si>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</si>
  <si>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</si>
  <si>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</si>
  <si>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</si>
  <si>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</si>
  <si>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</si>
  <si>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</si>
  <si>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</si>
  <si>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</si>
  <si>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</si>
  <si>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</si>
  <si>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</si>
  <si>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</si>
  <si>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</si>
  <si>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</si>
  <si>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</si>
  <si>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</si>
  <si>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</si>
  <si>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</si>
  <si>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</si>
  <si>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</si>
  <si>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</si>
  <si>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</si>
  <si>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</si>
  <si>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</si>
  <si>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</si>
  <si>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</si>
  <si>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</si>
  <si>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</si>
  <si>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</si>
  <si>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</si>
  <si>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</si>
  <si>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</si>
  <si>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</si>
  <si>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</si>
  <si>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</si>
  <si>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</si>
  <si>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</si>
  <si>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</si>
  <si>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</si>
  <si>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</si>
  <si>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</si>
  <si>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</si>
  <si>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</si>
  <si>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</si>
  <si>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</si>
  <si>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</si>
  <si>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</si>
  <si>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</si>
  <si>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</si>
  <si>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</si>
  <si>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</si>
  <si>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</si>
  <si>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</si>
  <si>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</si>
  <si>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</si>
  <si>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</si>
  <si>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</si>
  <si>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</si>
  <si>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</si>
  <si>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</si>
  <si>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</si>
  <si>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</si>
  <si>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</si>
  <si>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</si>
  <si>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</si>
  <si>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</si>
  <si>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</si>
  <si>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</si>
  <si>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</si>
  <si>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</si>
  <si>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</si>
  <si>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</si>
  <si>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</si>
  <si>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</si>
  <si>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</si>
  <si>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</si>
  <si>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</si>
  <si>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</si>
  <si>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</si>
  <si>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</si>
  <si>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</si>
  <si>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</si>
  <si>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</si>
  <si>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</si>
  <si>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</si>
  <si>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</si>
  <si>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</si>
  <si>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</si>
  <si>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</si>
  <si>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</si>
  <si>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</si>
  <si>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</si>
  <si>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</si>
  <si>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</si>
  <si>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</si>
  <si>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</si>
  <si>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</si>
  <si>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Count of Index</t>
  </si>
  <si>
    <t>Row Labels</t>
  </si>
  <si>
    <t>Grand Total</t>
  </si>
  <si>
    <t>Column Labels</t>
  </si>
  <si>
    <t>Details for Count of Index - new_survived: Not Survived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</si>
</sst>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b/>
      <sz val="18"/>
      <color rgb="FF000000"/>
      <name val="Times New Roman"/>
      <family val="1"/>
    </font>
  </fonts>
  <fills count="4">
    <fill>
      <patternFill patternType="none"/>
    </fill>
    <fill>
      <patternFill patternType="gray125"/>
    </fill>
    <fill>
      <patternFill patternType="solid">
        <fgColor theme="4" tint="0.79998168889431442"/>
        <bgColor indexed="64"/>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0" fillId="2" borderId="0" xfId="0" applyFill="1" applyAlignment="1">
      <alignment horizontal="center"/>
    </xf>
    <xf numFmtId="0" fontId="0" fillId="0" borderId="0" xfId="0" applyNumberFormat="1"/>
    <xf numFmtId="0" fontId="2" fillId="3" borderId="1" xfId="0" applyNumberFormat="1" applyFont="1" applyFill="1" applyBorder="1"/>
    <xf numFmtId="9" fontId="0" fillId="0" borderId="0" xfId="1" applyFont="1"/>
    <xf numFmtId="9" fontId="3" fillId="0" borderId="0" xfId="0" applyNumberFormat="1" applyFont="1"/>
    <xf numFmtId="0" fontId="2" fillId="0" borderId="0" xfId="0" applyFont="1"/>
    <xf numFmtId="3" fontId="0" fillId="0" borderId="0" xfId="0" applyNumberFormat="1"/>
  </cellXfs>
  <cellStyles count="2">
    <cellStyle name="Normal" xfId="0" builtinId="0"/>
    <cellStyle name="Percent" xfId="1" builtinId="5"/>
  </cellStyles>
  <dxfs count="341">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984E7C"/>
      <color rgb="FFAA5A8C"/>
      <color rgb="FF351B2B"/>
      <color rgb="FFB525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[PROJECT.xlsx]Survival!PivotTable1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13738626421697289"/>
          <c:y val="4.6296296296296294E-2"/>
          <c:w val="0.53888888888888886"/>
          <c:h val="0.89814814814814814"/>
        </c:manualLayout>
      </c:layout>
      <c:doughnutChart>
        <c:varyColors val="1"/>
        <c:ser>
          <c:idx val="0"/>
          <c:order val="0"/>
          <c:tx>
            <c:strRef>
              <c:f>Survival!$B$3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66F-4B79-A420-00520B5585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66F-4B79-A420-00520B55850F}"/>
              </c:ext>
            </c:extLst>
          </c:dPt>
          <c:cat>
            <c:strRef>
              <c:f>Survival!$A$4:$A$6</c:f>
              <c:strCache>
                <c:ptCount val="2"/>
                <c:pt idx="0">
                  <c:v>Not Survived</c:v>
                </c:pt>
                <c:pt idx="1">
                  <c:v>Survived</c:v>
                </c:pt>
              </c:strCache>
            </c:strRef>
          </c:cat>
          <c:val>
            <c:numRef>
              <c:f>Survival!$B$4:$B$6</c:f>
              <c:numCache>
                <c:formatCode>General</c:formatCode>
                <c:ptCount val="2"/>
                <c:pt idx="0">
                  <c:v>809</c:v>
                </c:pt>
                <c:pt idx="1">
                  <c:v>500</c:v>
                </c:pt>
              </c:numCache>
            </c:numRef>
          </c:val>
          <c:extLst>
            <c:ext xmlns:c16="http://schemas.microsoft.com/office/drawing/2014/chart" uri="{C3380CC4-5D6E-409C-BE32-E72D297353CC}">
              <c16:uniqueId val="{00000000-B344-4EC9-A629-2B6DB3602436}"/>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[PROJECT.xlsx]class!PivotTable2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class!$B$3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class!$A$4:$A$7</c:f>
              <c:strCache>
                <c:ptCount val="3"/>
                <c:pt idx="0">
                  <c:v>Low Class</c:v>
                </c:pt>
                <c:pt idx="1">
                  <c:v>First Class</c:v>
                </c:pt>
                <c:pt idx="2">
                  <c:v>Middle Class</c:v>
                </c:pt>
              </c:strCache>
            </c:strRef>
          </c:cat>
          <c:val>
            <c:numRef>
              <c:f>class!$B$4:$B$7</c:f>
              <c:numCache>
                <c:formatCode>General</c:formatCode>
                <c:ptCount val="3"/>
                <c:pt idx="0">
                  <c:v>709</c:v>
                </c:pt>
                <c:pt idx="1">
                  <c:v>323</c:v>
                </c:pt>
                <c:pt idx="2">
                  <c:v>277</c:v>
                </c:pt>
              </c:numCache>
            </c:numRef>
          </c:val>
          <c:extLst>
            <c:ext xmlns:c16="http://schemas.microsoft.com/office/drawing/2014/chart" uri="{C3380CC4-5D6E-409C-BE32-E72D297353CC}">
              <c16:uniqueId val="{00000000-34F9-44B2-8287-39E173935326}"/>
            </c:ext>
          </c:extLst>
        </c:ser>
        <c:dLbls>
          <c:dLblPos val="outEnd"/>
          <c:showLegendKey val="0"/>
          <c:showVal val="1"/>
          <c:showCatName val="0"/>
          <c:showSerName val="0"/>
          <c:showPercent val="0"/>
          <c:showBubbleSize val="0"/>
        </c:dLbls>
        <c:gapWidth val="219"/>
        <c:overlap val="-27"/>
        <c:axId val="513829887"/>
        <c:axId val="513827487"/>
      </c:barChart>
      <c:catAx>
        <c:axId val="513829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827487"/>
        <c:crosses val="autoZero"/>
        <c:auto val="1"/>
        <c:lblAlgn val="ctr"/>
        <c:lblOffset val="100"/>
        <c:noMultiLvlLbl val="0"/>
      </c:catAx>
      <c:valAx>
        <c:axId val="513827487"/>
        <c:scaling>
          <c:orientation val="minMax"/>
        </c:scaling>
        <c:delete val="1"/>
        <c:axPos val="l"/>
        <c:numFmt formatCode="General" sourceLinked="1"/>
        <c:majorTickMark val="none"/>
        <c:minorTickMark val="none"/>
        <c:tickLblPos val="nextTo"/>
        <c:crossAx val="513829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[PROJECT.xlsx]class!PivotTable4</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pivotFmt>
    </c:pivotFmts>
    <c:plotArea>
      <c:layout>
        <c:manualLayout>
          <c:layoutTarget val="inner"/>
          <c:xMode val="edge"/>
          <c:yMode val="edge"/>
          <c:x val="3.0555555555555555E-2"/>
          <c:y val="5.5555555555555552E-2"/>
          <c:w val="0.71334645669291341"/>
          <c:h val="0.84204505686789155"/>
        </c:manualLayout>
      </c:layout>
      <c:lineChart>
        <c:grouping val="standard"/>
        <c:varyColors val="0"/>
        <c:ser>
          <c:idx val="0"/>
          <c:order val="0"/>
          <c:tx>
            <c:strRef>
              <c:f>class!$B$21:$B$22</c:f>
              <c:strCache>
                <c:ptCount val="1"/>
                <c:pt idx="0">
                  <c:v>Not Survived</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class!$A$23:$A$26</c:f>
              <c:strCache>
                <c:ptCount val="3"/>
                <c:pt idx="0">
                  <c:v>First Class</c:v>
                </c:pt>
                <c:pt idx="1">
                  <c:v>Low Class</c:v>
                </c:pt>
                <c:pt idx="2">
                  <c:v>Middle Class</c:v>
                </c:pt>
              </c:strCache>
            </c:strRef>
          </c:cat>
          <c:val>
            <c:numRef>
              <c:f>class!$B$23:$B$26</c:f>
              <c:numCache>
                <c:formatCode>General</c:formatCode>
                <c:ptCount val="3"/>
                <c:pt idx="0">
                  <c:v>123</c:v>
                </c:pt>
                <c:pt idx="1">
                  <c:v>528</c:v>
                </c:pt>
                <c:pt idx="2">
                  <c:v>158</c:v>
                </c:pt>
              </c:numCache>
            </c:numRef>
          </c:val>
          <c:smooth val="0"/>
          <c:extLst>
            <c:ext xmlns:c16="http://schemas.microsoft.com/office/drawing/2014/chart" uri="{C3380CC4-5D6E-409C-BE32-E72D297353CC}">
              <c16:uniqueId val="{00000000-576E-46D3-B5B7-4C60F66386BD}"/>
            </c:ext>
          </c:extLst>
        </c:ser>
        <c:ser>
          <c:idx val="1"/>
          <c:order val="1"/>
          <c:tx>
            <c:strRef>
              <c:f>class!$C$21:$C$22</c:f>
              <c:strCache>
                <c:ptCount val="1"/>
                <c:pt idx="0">
                  <c:v>Survived</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class!$A$23:$A$26</c:f>
              <c:strCache>
                <c:ptCount val="3"/>
                <c:pt idx="0">
                  <c:v>First Class</c:v>
                </c:pt>
                <c:pt idx="1">
                  <c:v>Low Class</c:v>
                </c:pt>
                <c:pt idx="2">
                  <c:v>Middle Class</c:v>
                </c:pt>
              </c:strCache>
            </c:strRef>
          </c:cat>
          <c:val>
            <c:numRef>
              <c:f>class!$C$23:$C$26</c:f>
              <c:numCache>
                <c:formatCode>General</c:formatCode>
                <c:ptCount val="3"/>
                <c:pt idx="0">
                  <c:v>200</c:v>
                </c:pt>
                <c:pt idx="1">
                  <c:v>181</c:v>
                </c:pt>
                <c:pt idx="2">
                  <c:v>119</c:v>
                </c:pt>
              </c:numCache>
            </c:numRef>
          </c:val>
          <c:smooth val="0"/>
          <c:extLst>
            <c:ext xmlns:c16="http://schemas.microsoft.com/office/drawing/2014/chart" uri="{C3380CC4-5D6E-409C-BE32-E72D297353CC}">
              <c16:uniqueId val="{00000007-8430-462D-B22E-7F8DE395CCB8}"/>
            </c:ext>
          </c:extLst>
        </c:ser>
        <c:dLbls>
          <c:dLblPos val="t"/>
          <c:showLegendKey val="0"/>
          <c:showVal val="1"/>
          <c:showCatName val="0"/>
          <c:showSerName val="0"/>
          <c:showPercent val="0"/>
          <c:showBubbleSize val="0"/>
        </c:dLbls>
        <c:smooth val="0"/>
        <c:axId val="661691487"/>
        <c:axId val="661694367"/>
      </c:lineChart>
      <c:catAx>
        <c:axId val="661691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694367"/>
        <c:crosses val="autoZero"/>
        <c:auto val="1"/>
        <c:lblAlgn val="ctr"/>
        <c:lblOffset val="100"/>
        <c:noMultiLvlLbl val="0"/>
      </c:catAx>
      <c:valAx>
        <c:axId val="661694367"/>
        <c:scaling>
          <c:orientation val="minMax"/>
          <c:min val="0.2"/>
        </c:scaling>
        <c:delete val="1"/>
        <c:axPos val="l"/>
        <c:numFmt formatCode="General" sourceLinked="1"/>
        <c:majorTickMark val="none"/>
        <c:minorTickMark val="none"/>
        <c:tickLblPos val="nextTo"/>
        <c:crossAx val="661691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[PROJECT.xlsx]class!PivotTable10</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class!$B$37:$B$38</c:f>
              <c:strCache>
                <c:ptCount val="1"/>
                <c:pt idx="0">
                  <c:v>Not Survived</c:v>
                </c:pt>
              </c:strCache>
            </c:strRef>
          </c:tx>
          <c:spPr>
            <a:solidFill>
              <a:schemeClr val="accent1"/>
            </a:solidFill>
            <a:ln>
              <a:noFill/>
            </a:ln>
            <a:effectLst/>
          </c:spPr>
          <c:invertIfNegative val="0"/>
          <c:cat>
            <c:multiLvlStrRef>
              <c:f>class!$A$39:$A$48</c:f>
              <c:multiLvlStrCache>
                <c:ptCount val="6"/>
                <c:lvl>
                  <c:pt idx="0">
                    <c:v>female</c:v>
                  </c:pt>
                  <c:pt idx="1">
                    <c:v>male</c:v>
                  </c:pt>
                  <c:pt idx="2">
                    <c:v>female</c:v>
                  </c:pt>
                  <c:pt idx="3">
                    <c:v>male</c:v>
                  </c:pt>
                  <c:pt idx="4">
                    <c:v>female</c:v>
                  </c:pt>
                  <c:pt idx="5">
                    <c:v>male</c:v>
                  </c:pt>
                </c:lvl>
                <c:lvl>
                  <c:pt idx="0">
                    <c:v>First Class</c:v>
                  </c:pt>
                  <c:pt idx="2">
                    <c:v>Low Class</c:v>
                  </c:pt>
                  <c:pt idx="4">
                    <c:v>Middle Class</c:v>
                  </c:pt>
                </c:lvl>
              </c:multiLvlStrCache>
            </c:multiLvlStrRef>
          </c:cat>
          <c:val>
            <c:numRef>
              <c:f>class!$B$39:$B$48</c:f>
              <c:numCache>
                <c:formatCode>0.0%</c:formatCode>
                <c:ptCount val="6"/>
                <c:pt idx="0">
                  <c:v>3.4722222222222224E-2</c:v>
                </c:pt>
                <c:pt idx="1">
                  <c:v>0.65921787709497204</c:v>
                </c:pt>
                <c:pt idx="2">
                  <c:v>0.5092592592592593</c:v>
                </c:pt>
                <c:pt idx="3">
                  <c:v>0.84787018255578095</c:v>
                </c:pt>
                <c:pt idx="4">
                  <c:v>0.11320754716981132</c:v>
                </c:pt>
                <c:pt idx="5">
                  <c:v>0.85380116959064323</c:v>
                </c:pt>
              </c:numCache>
            </c:numRef>
          </c:val>
          <c:extLst>
            <c:ext xmlns:c16="http://schemas.microsoft.com/office/drawing/2014/chart" uri="{C3380CC4-5D6E-409C-BE32-E72D297353CC}">
              <c16:uniqueId val="{00000000-5454-449F-8D1D-AAD907BCF546}"/>
            </c:ext>
          </c:extLst>
        </c:ser>
        <c:ser>
          <c:idx val="1"/>
          <c:order val="1"/>
          <c:tx>
            <c:strRef>
              <c:f>class!$C$37:$C$38</c:f>
              <c:strCache>
                <c:ptCount val="1"/>
                <c:pt idx="0">
                  <c:v>Survived</c:v>
                </c:pt>
              </c:strCache>
            </c:strRef>
          </c:tx>
          <c:spPr>
            <a:solidFill>
              <a:schemeClr val="accent2"/>
            </a:solidFill>
            <a:ln>
              <a:noFill/>
            </a:ln>
            <a:effectLst/>
          </c:spPr>
          <c:invertIfNegative val="0"/>
          <c:cat>
            <c:multiLvlStrRef>
              <c:f>class!$A$39:$A$48</c:f>
              <c:multiLvlStrCache>
                <c:ptCount val="6"/>
                <c:lvl>
                  <c:pt idx="0">
                    <c:v>female</c:v>
                  </c:pt>
                  <c:pt idx="1">
                    <c:v>male</c:v>
                  </c:pt>
                  <c:pt idx="2">
                    <c:v>female</c:v>
                  </c:pt>
                  <c:pt idx="3">
                    <c:v>male</c:v>
                  </c:pt>
                  <c:pt idx="4">
                    <c:v>female</c:v>
                  </c:pt>
                  <c:pt idx="5">
                    <c:v>male</c:v>
                  </c:pt>
                </c:lvl>
                <c:lvl>
                  <c:pt idx="0">
                    <c:v>First Class</c:v>
                  </c:pt>
                  <c:pt idx="2">
                    <c:v>Low Class</c:v>
                  </c:pt>
                  <c:pt idx="4">
                    <c:v>Middle Class</c:v>
                  </c:pt>
                </c:lvl>
              </c:multiLvlStrCache>
            </c:multiLvlStrRef>
          </c:cat>
          <c:val>
            <c:numRef>
              <c:f>class!$C$39:$C$48</c:f>
              <c:numCache>
                <c:formatCode>0.0%</c:formatCode>
                <c:ptCount val="6"/>
                <c:pt idx="0">
                  <c:v>0.96527777777777779</c:v>
                </c:pt>
                <c:pt idx="1">
                  <c:v>0.34078212290502791</c:v>
                </c:pt>
                <c:pt idx="2">
                  <c:v>0.49074074074074076</c:v>
                </c:pt>
                <c:pt idx="3">
                  <c:v>0.15212981744421908</c:v>
                </c:pt>
                <c:pt idx="4">
                  <c:v>0.8867924528301887</c:v>
                </c:pt>
                <c:pt idx="5">
                  <c:v>0.14619883040935672</c:v>
                </c:pt>
              </c:numCache>
            </c:numRef>
          </c:val>
          <c:extLst>
            <c:ext xmlns:c16="http://schemas.microsoft.com/office/drawing/2014/chart" uri="{C3380CC4-5D6E-409C-BE32-E72D297353CC}">
              <c16:uniqueId val="{00000007-58F3-43F0-BCCB-555F6BB09FA9}"/>
            </c:ext>
          </c:extLst>
        </c:ser>
        <c:dLbls>
          <c:showLegendKey val="0"/>
          <c:showVal val="0"/>
          <c:showCatName val="0"/>
          <c:showSerName val="0"/>
          <c:showPercent val="0"/>
          <c:showBubbleSize val="0"/>
        </c:dLbls>
        <c:gapWidth val="219"/>
        <c:overlap val="-27"/>
        <c:axId val="604635759"/>
        <c:axId val="604638159"/>
      </c:barChart>
      <c:catAx>
        <c:axId val="60463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638159"/>
        <c:crosses val="autoZero"/>
        <c:auto val="1"/>
        <c:lblAlgn val="ctr"/>
        <c:lblOffset val="100"/>
        <c:noMultiLvlLbl val="0"/>
      </c:catAx>
      <c:valAx>
        <c:axId val="604638159"/>
        <c:scaling>
          <c:orientation val="minMax"/>
        </c:scaling>
        <c:delete val="1"/>
        <c:axPos val="l"/>
        <c:numFmt formatCode="0.0%" sourceLinked="1"/>
        <c:majorTickMark val="none"/>
        <c:minorTickMark val="none"/>
        <c:tickLblPos val="nextTo"/>
        <c:crossAx val="604635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[PROJECT.xlsx]gender!PivotTable5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gender!$B$3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B1-4593-9C3B-BF18305021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B1-4593-9C3B-BF183050213A}"/>
              </c:ext>
            </c:extLst>
          </c:dPt>
          <c:cat>
            <c:strRef>
              <c:f>gender!$A$4:$A$6</c:f>
              <c:strCache>
                <c:ptCount val="2"/>
                <c:pt idx="0">
                  <c:v>female</c:v>
                </c:pt>
                <c:pt idx="1">
                  <c:v>male</c:v>
                </c:pt>
              </c:strCache>
            </c:strRef>
          </c:cat>
          <c:val>
            <c:numRef>
              <c:f>gender!$B$4:$B$6</c:f>
              <c:numCache>
                <c:formatCode>General</c:formatCode>
                <c:ptCount val="2"/>
                <c:pt idx="0">
                  <c:v>466</c:v>
                </c:pt>
                <c:pt idx="1">
                  <c:v>843</c:v>
                </c:pt>
              </c:numCache>
            </c:numRef>
          </c:val>
          <c:extLst>
            <c:ext xmlns:c16="http://schemas.microsoft.com/office/drawing/2014/chart" uri="{C3380CC4-5D6E-409C-BE32-E72D297353CC}">
              <c16:uniqueId val="{00000000-C60C-4197-99E7-3F7484E6318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[PROJECT.xlsx]gender!PivotTable6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2.2222222222222223E-2"/>
          <c:y val="6.0185185185185182E-2"/>
          <c:w val="0.71334645669291341"/>
          <c:h val="0.84204505686789155"/>
        </c:manualLayout>
      </c:layout>
      <c:barChart>
        <c:barDir val="col"/>
        <c:grouping val="clustered"/>
        <c:varyColors val="0"/>
        <c:ser>
          <c:idx val="0"/>
          <c:order val="0"/>
          <c:tx>
            <c:strRef>
              <c:f>gender!$B$26:$B$27</c:f>
              <c:strCache>
                <c:ptCount val="1"/>
                <c:pt idx="0">
                  <c:v>Not Survived</c:v>
                </c:pt>
              </c:strCache>
            </c:strRef>
          </c:tx>
          <c:spPr>
            <a:solidFill>
              <a:schemeClr val="accent1"/>
            </a:solidFill>
            <a:ln>
              <a:noFill/>
            </a:ln>
            <a:effectLst/>
          </c:spPr>
          <c:invertIfNegative val="0"/>
          <c:cat>
            <c:strRef>
              <c:f>gender!$A$28:$A$30</c:f>
              <c:strCache>
                <c:ptCount val="2"/>
                <c:pt idx="0">
                  <c:v>female</c:v>
                </c:pt>
                <c:pt idx="1">
                  <c:v>male</c:v>
                </c:pt>
              </c:strCache>
            </c:strRef>
          </c:cat>
          <c:val>
            <c:numRef>
              <c:f>gender!$B$28:$B$30</c:f>
              <c:numCache>
                <c:formatCode>0.0%</c:formatCode>
                <c:ptCount val="2"/>
                <c:pt idx="0">
                  <c:v>0.27253218884120173</c:v>
                </c:pt>
                <c:pt idx="1">
                  <c:v>0.80901542111506519</c:v>
                </c:pt>
              </c:numCache>
            </c:numRef>
          </c:val>
          <c:extLst>
            <c:ext xmlns:c16="http://schemas.microsoft.com/office/drawing/2014/chart" uri="{C3380CC4-5D6E-409C-BE32-E72D297353CC}">
              <c16:uniqueId val="{00000000-3C1C-4494-8F73-394A24C58E8B}"/>
            </c:ext>
          </c:extLst>
        </c:ser>
        <c:ser>
          <c:idx val="1"/>
          <c:order val="1"/>
          <c:tx>
            <c:strRef>
              <c:f>gender!$C$26:$C$27</c:f>
              <c:strCache>
                <c:ptCount val="1"/>
                <c:pt idx="0">
                  <c:v>Survived</c:v>
                </c:pt>
              </c:strCache>
            </c:strRef>
          </c:tx>
          <c:spPr>
            <a:solidFill>
              <a:schemeClr val="accent2"/>
            </a:solidFill>
            <a:ln>
              <a:noFill/>
            </a:ln>
            <a:effectLst/>
          </c:spPr>
          <c:invertIfNegative val="0"/>
          <c:cat>
            <c:strRef>
              <c:f>gender!$A$28:$A$30</c:f>
              <c:strCache>
                <c:ptCount val="2"/>
                <c:pt idx="0">
                  <c:v>female</c:v>
                </c:pt>
                <c:pt idx="1">
                  <c:v>male</c:v>
                </c:pt>
              </c:strCache>
            </c:strRef>
          </c:cat>
          <c:val>
            <c:numRef>
              <c:f>gender!$C$28:$C$30</c:f>
              <c:numCache>
                <c:formatCode>0.0%</c:formatCode>
                <c:ptCount val="2"/>
                <c:pt idx="0">
                  <c:v>0.72746781115879833</c:v>
                </c:pt>
                <c:pt idx="1">
                  <c:v>0.19098457888493475</c:v>
                </c:pt>
              </c:numCache>
            </c:numRef>
          </c:val>
          <c:extLst>
            <c:ext xmlns:c16="http://schemas.microsoft.com/office/drawing/2014/chart" uri="{C3380CC4-5D6E-409C-BE32-E72D297353CC}">
              <c16:uniqueId val="{00000007-0959-48CA-814D-5D283F83D58D}"/>
            </c:ext>
          </c:extLst>
        </c:ser>
        <c:dLbls>
          <c:showLegendKey val="0"/>
          <c:showVal val="0"/>
          <c:showCatName val="0"/>
          <c:showSerName val="0"/>
          <c:showPercent val="0"/>
          <c:showBubbleSize val="0"/>
        </c:dLbls>
        <c:gapWidth val="150"/>
        <c:axId val="604584879"/>
        <c:axId val="604597359"/>
      </c:barChart>
      <c:catAx>
        <c:axId val="60458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597359"/>
        <c:crosses val="autoZero"/>
        <c:auto val="1"/>
        <c:lblAlgn val="ctr"/>
        <c:lblOffset val="100"/>
        <c:noMultiLvlLbl val="0"/>
      </c:catAx>
      <c:valAx>
        <c:axId val="604597359"/>
        <c:scaling>
          <c:orientation val="minMax"/>
          <c:min val="0.2"/>
        </c:scaling>
        <c:delete val="1"/>
        <c:axPos val="l"/>
        <c:numFmt formatCode="0.0%" sourceLinked="1"/>
        <c:majorTickMark val="none"/>
        <c:minorTickMark val="none"/>
        <c:tickLblPos val="nextTo"/>
        <c:crossAx val="604584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[PROJECT.xlsx]Sheet6!PivotTable7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Sheet6!$A$4:$A$13</c:f>
              <c:strCache>
                <c:ptCount val="9"/>
                <c:pt idx="0">
                  <c:v>0-9 years</c:v>
                </c:pt>
                <c:pt idx="1">
                  <c:v>10-19 years</c:v>
                </c:pt>
                <c:pt idx="2">
                  <c:v>19-29 years</c:v>
                </c:pt>
                <c:pt idx="3">
                  <c:v>29-39 years</c:v>
                </c:pt>
                <c:pt idx="4">
                  <c:v>39-49 years</c:v>
                </c:pt>
                <c:pt idx="5">
                  <c:v>49-59 years</c:v>
                </c:pt>
                <c:pt idx="6">
                  <c:v>59-69 years</c:v>
                </c:pt>
                <c:pt idx="7">
                  <c:v>69-79 years</c:v>
                </c:pt>
                <c:pt idx="8">
                  <c:v>79-89 years</c:v>
                </c:pt>
              </c:strCache>
            </c:strRef>
          </c:cat>
          <c:val>
            <c:numRef>
              <c:f>Sheet6!$B$4:$B$13</c:f>
              <c:numCache>
                <c:formatCode>General</c:formatCode>
                <c:ptCount val="9"/>
                <c:pt idx="0">
                  <c:v>82</c:v>
                </c:pt>
                <c:pt idx="1">
                  <c:v>143</c:v>
                </c:pt>
                <c:pt idx="2">
                  <c:v>607</c:v>
                </c:pt>
                <c:pt idx="3">
                  <c:v>232</c:v>
                </c:pt>
                <c:pt idx="4">
                  <c:v>135</c:v>
                </c:pt>
                <c:pt idx="5">
                  <c:v>70</c:v>
                </c:pt>
                <c:pt idx="6">
                  <c:v>32</c:v>
                </c:pt>
                <c:pt idx="7">
                  <c:v>7</c:v>
                </c:pt>
                <c:pt idx="8">
                  <c:v>1</c:v>
                </c:pt>
              </c:numCache>
            </c:numRef>
          </c:val>
          <c:extLst>
            <c:ext xmlns:c16="http://schemas.microsoft.com/office/drawing/2014/chart" uri="{C3380CC4-5D6E-409C-BE32-E72D297353CC}">
              <c16:uniqueId val="{00000000-F685-430E-BDBD-93AD060A2A00}"/>
            </c:ext>
          </c:extLst>
        </c:ser>
        <c:dLbls>
          <c:dLblPos val="outEnd"/>
          <c:showLegendKey val="0"/>
          <c:showVal val="1"/>
          <c:showCatName val="0"/>
          <c:showSerName val="0"/>
          <c:showPercent val="0"/>
          <c:showBubbleSize val="0"/>
        </c:dLbls>
        <c:gapWidth val="61"/>
        <c:overlap val="-27"/>
        <c:axId val="1168045024"/>
        <c:axId val="1168033504"/>
      </c:barChart>
      <c:catAx>
        <c:axId val="116804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033504"/>
        <c:crosses val="autoZero"/>
        <c:auto val="1"/>
        <c:lblAlgn val="ctr"/>
        <c:lblOffset val="100"/>
        <c:noMultiLvlLbl val="0"/>
      </c:catAx>
      <c:valAx>
        <c:axId val="1168033504"/>
        <c:scaling>
          <c:orientation val="minMax"/>
        </c:scaling>
        <c:delete val="1"/>
        <c:axPos val="l"/>
        <c:numFmt formatCode="General" sourceLinked="1"/>
        <c:majorTickMark val="none"/>
        <c:minorTickMark val="none"/>
        <c:tickLblPos val="nextTo"/>
        <c:crossAx val="1168045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[PROJECT.xlsx]Sheet6!PivotTable9</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percentStacked"/>
        <c:varyColors val="0"/>
        <c:ser>
          <c:idx val="0"/>
          <c:order val="0"/>
          <c:tx>
            <c:strRef>
              <c:f>Sheet6!$B$21:$B$22</c:f>
              <c:strCache>
                <c:ptCount val="1"/>
                <c:pt idx="0">
                  <c:v>Not Survived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Sheet6!$A$23:$A$32</c:f>
              <c:strCache>
                <c:ptCount val="9"/>
                <c:pt idx="0">
                  <c:v>0-9 years</c:v>
                </c:pt>
                <c:pt idx="1">
                  <c:v>10-19 years</c:v>
                </c:pt>
                <c:pt idx="2">
                  <c:v>19-29 years</c:v>
                </c:pt>
                <c:pt idx="3">
                  <c:v>29-39 years</c:v>
                </c:pt>
                <c:pt idx="4">
                  <c:v>39-49 years</c:v>
                </c:pt>
                <c:pt idx="5">
                  <c:v>49-59 years</c:v>
                </c:pt>
                <c:pt idx="6">
                  <c:v>59-69 years</c:v>
                </c:pt>
                <c:pt idx="7">
                  <c:v>69-79 years</c:v>
                </c:pt>
                <c:pt idx="8">
                  <c:v>79-89 years</c:v>
                </c:pt>
              </c:strCache>
            </c:strRef>
          </c:cat>
          <c:val>
            <c:numRef>
              <c:f>Sheet6!$B$23:$B$32</c:f>
              <c:numCache>
                <c:formatCode>General</c:formatCode>
                <c:ptCount val="9"/>
                <c:pt idx="0">
                  <c:v>32</c:v>
                </c:pt>
                <c:pt idx="1">
                  <c:v>87</c:v>
                </c:pt>
                <c:pt idx="2">
                  <c:v>407</c:v>
                </c:pt>
                <c:pt idx="3">
                  <c:v>134</c:v>
                </c:pt>
                <c:pt idx="4">
                  <c:v>83</c:v>
                </c:pt>
                <c:pt idx="5">
                  <c:v>38</c:v>
                </c:pt>
                <c:pt idx="6">
                  <c:v>22</c:v>
                </c:pt>
                <c:pt idx="7">
                  <c:v>6</c:v>
                </c:pt>
              </c:numCache>
            </c:numRef>
          </c:val>
          <c:extLst>
            <c:ext xmlns:c16="http://schemas.microsoft.com/office/drawing/2014/chart" uri="{C3380CC4-5D6E-409C-BE32-E72D297353CC}">
              <c16:uniqueId val="{00000000-18F3-4F95-A89D-063BD614A946}"/>
            </c:ext>
          </c:extLst>
        </c:ser>
        <c:ser>
          <c:idx val="1"/>
          <c:order val="1"/>
          <c:tx>
            <c:strRef>
              <c:f>Sheet6!$C$21:$C$22</c:f>
              <c:strCache>
                <c:ptCount val="1"/>
                <c:pt idx="0">
                  <c:v>Survived</c:v>
                </c:pt>
              </c:strCache>
            </c:strRef>
          </c:tx>
          <c:spPr>
            <a:solidFill>
              <a:schemeClr val="accent2"/>
            </a:solidFill>
            <a:ln>
              <a:noFill/>
            </a:ln>
            <a:effectLst/>
          </c:spPr>
          <c:invertIfNegative val="0"/>
          <c:cat>
            <c:strRef>
              <c:f>Sheet6!$A$23:$A$32</c:f>
              <c:strCache>
                <c:ptCount val="9"/>
                <c:pt idx="0">
                  <c:v>0-9 years</c:v>
                </c:pt>
                <c:pt idx="1">
                  <c:v>10-19 years</c:v>
                </c:pt>
                <c:pt idx="2">
                  <c:v>19-29 years</c:v>
                </c:pt>
                <c:pt idx="3">
                  <c:v>29-39 years</c:v>
                </c:pt>
                <c:pt idx="4">
                  <c:v>39-49 years</c:v>
                </c:pt>
                <c:pt idx="5">
                  <c:v>49-59 years</c:v>
                </c:pt>
                <c:pt idx="6">
                  <c:v>59-69 years</c:v>
                </c:pt>
                <c:pt idx="7">
                  <c:v>69-79 years</c:v>
                </c:pt>
                <c:pt idx="8">
                  <c:v>79-89 years</c:v>
                </c:pt>
              </c:strCache>
            </c:strRef>
          </c:cat>
          <c:val>
            <c:numRef>
              <c:f>Sheet6!$C$23:$C$32</c:f>
              <c:numCache>
                <c:formatCode>General</c:formatCode>
                <c:ptCount val="9"/>
                <c:pt idx="0">
                  <c:v>50</c:v>
                </c:pt>
                <c:pt idx="1">
                  <c:v>56</c:v>
                </c:pt>
                <c:pt idx="2">
                  <c:v>200</c:v>
                </c:pt>
                <c:pt idx="3">
                  <c:v>98</c:v>
                </c:pt>
                <c:pt idx="4">
                  <c:v>52</c:v>
                </c:pt>
                <c:pt idx="5">
                  <c:v>32</c:v>
                </c:pt>
                <c:pt idx="6">
                  <c:v>10</c:v>
                </c:pt>
                <c:pt idx="7">
                  <c:v>1</c:v>
                </c:pt>
                <c:pt idx="8">
                  <c:v>1</c:v>
                </c:pt>
              </c:numCache>
            </c:numRef>
          </c:val>
          <c:extLst>
            <c:ext xmlns:c16="http://schemas.microsoft.com/office/drawing/2014/chart" uri="{C3380CC4-5D6E-409C-BE32-E72D297353CC}">
              <c16:uniqueId val="{00000007-5BAD-466A-807F-677948F210A1}"/>
            </c:ext>
          </c:extLst>
        </c:ser>
        <c:dLbls>
          <c:showLegendKey val="0"/>
          <c:showVal val="0"/>
          <c:showCatName val="0"/>
          <c:showSerName val="0"/>
          <c:showPercent val="0"/>
          <c:showBubbleSize val="0"/>
        </c:dLbls>
        <c:gapWidth val="70"/>
        <c:overlap val="100"/>
        <c:axId val="593316015"/>
        <c:axId val="593310735"/>
      </c:barChart>
      <c:catAx>
        <c:axId val="59331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310735"/>
        <c:crosses val="autoZero"/>
        <c:auto val="1"/>
        <c:lblAlgn val="ctr"/>
        <c:lblOffset val="100"/>
        <c:noMultiLvlLbl val="0"/>
      </c:catAx>
      <c:valAx>
        <c:axId val="593310735"/>
        <c:scaling>
          <c:orientation val="minMax"/>
        </c:scaling>
        <c:delete val="1"/>
        <c:axPos val="l"/>
        <c:numFmt formatCode="0%" sourceLinked="1"/>
        <c:majorTickMark val="none"/>
        <c:minorTickMark val="none"/>
        <c:tickLblPos val="nextTo"/>
        <c:crossAx val="593316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800" b="1">
                <a:solidFill>
                  <a:schemeClr val="tx1"/>
                </a:solidFill>
                <a:latin typeface="Times New Roman" panose="02020603050405020304" pitchFamily="18" charset="0"/>
                <a:cs typeface="Times New Roman" panose="02020603050405020304" pitchFamily="18" charset="0"/>
              </a:rPr>
              <a:t>Distribution</a:t>
            </a:r>
            <a:r>
              <a:rPr lang="en-US" sz="1800" b="1" baseline="0">
                <a:solidFill>
                  <a:schemeClr val="tx1"/>
                </a:solidFill>
                <a:latin typeface="Times New Roman" panose="02020603050405020304" pitchFamily="18" charset="0"/>
                <a:cs typeface="Times New Roman" panose="02020603050405020304" pitchFamily="18" charset="0"/>
              </a:rPr>
              <a:t> by Fuel Type</a:t>
            </a:r>
            <a:endParaRPr lang="en-US" sz="1800"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manualLayout>
          <c:layoutTarget val="inner"/>
          <c:xMode val="edge"/>
          <c:yMode val="edge"/>
          <c:x val="0.15828885866480727"/>
          <c:y val="0.16305448891611113"/>
          <c:w val="0.61210606220305175"/>
          <c:h val="0.83694551108388893"/>
        </c:manualLayout>
      </c:layout>
      <c:pieChart>
        <c:varyColors val="1"/>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9220744012388722"/>
          <c:y val="0.19527689282502328"/>
          <c:w val="0.20236877604799278"/>
          <c:h val="0.2010260017119642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sz="1800" b="1" i="0" u="none" strike="noStrike" kern="1200" spc="0" baseline="0">
                <a:solidFill>
                  <a:schemeClr val="tx1"/>
                </a:solidFill>
                <a:latin typeface="Times New Roman" panose="02020603050405020304" pitchFamily="18" charset="0"/>
                <a:cs typeface="Times New Roman" panose="02020603050405020304" pitchFamily="18" charset="0"/>
              </a:rPr>
              <a:t>Count Of Drive Wheels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dLbls>
          <c:showLegendKey val="0"/>
          <c:showVal val="0"/>
          <c:showCatName val="0"/>
          <c:showSerName val="0"/>
          <c:showPercent val="0"/>
          <c:showBubbleSize val="0"/>
        </c:dLbls>
        <c:gapWidth val="182"/>
        <c:axId val="626730064"/>
        <c:axId val="626746864"/>
      </c:barChart>
      <c:catAx>
        <c:axId val="626730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Arial Narrow" panose="020B0606020202030204" pitchFamily="34" charset="0"/>
                <a:ea typeface="+mn-ea"/>
                <a:cs typeface="+mn-cs"/>
              </a:defRPr>
            </a:pPr>
            <a:endParaRPr lang="en-US"/>
          </a:p>
        </c:txPr>
        <c:crossAx val="626746864"/>
        <c:crosses val="autoZero"/>
        <c:auto val="1"/>
        <c:lblAlgn val="ctr"/>
        <c:lblOffset val="100"/>
        <c:noMultiLvlLbl val="0"/>
      </c:catAx>
      <c:valAx>
        <c:axId val="6267468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2673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[PROJECT.xlsx]Survival!PivotTable1</c:name>
    <c:fmtId val="23"/>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3140731847980885"/>
          <c:y val="0.24420677850051353"/>
          <c:w val="0.69019267210432778"/>
          <c:h val="0.66918680817071774"/>
        </c:manualLayout>
      </c:layout>
      <c:doughnutChart>
        <c:varyColors val="1"/>
        <c:ser>
          <c:idx val="1"/>
          <c:order val="0"/>
          <c:tx>
            <c:strRef>
              <c:f>Survival!$B$3</c:f>
              <c:strCache>
                <c:ptCount val="1"/>
                <c:pt idx="0">
                  <c:v>Total</c:v>
                </c:pt>
              </c:strCache>
            </c:strRef>
          </c:tx>
          <c:cat>
            <c:strRef>
              <c:f>Survival!$A$4:$A$6</c:f>
              <c:strCache>
                <c:ptCount val="2"/>
                <c:pt idx="0">
                  <c:v>Not Survived</c:v>
                </c:pt>
                <c:pt idx="1">
                  <c:v>Survived</c:v>
                </c:pt>
              </c:strCache>
            </c:strRef>
          </c:cat>
          <c:val>
            <c:numRef>
              <c:f>Survival!$B$4:$B$6</c:f>
              <c:numCache>
                <c:formatCode>General</c:formatCode>
                <c:ptCount val="2"/>
                <c:pt idx="0">
                  <c:v>809</c:v>
                </c:pt>
                <c:pt idx="1">
                  <c:v>500</c:v>
                </c:pt>
              </c:numCache>
            </c:numRef>
          </c:val>
          <c:extLst>
            <c:ext xmlns:c16="http://schemas.microsoft.com/office/drawing/2014/chart" uri="{C3380CC4-5D6E-409C-BE32-E72D297353CC}">
              <c16:uniqueId val="{0000000C-2B27-44D3-95CA-5ADEDB49AFE6}"/>
            </c:ext>
          </c:extLst>
        </c:ser>
        <c:dLbls>
          <c:showLegendKey val="0"/>
          <c:showVal val="0"/>
          <c:showCatName val="0"/>
          <c:showSerName val="0"/>
          <c:showPercent val="0"/>
          <c:showBubbleSize val="0"/>
          <c:showLeaderLines val="1"/>
        </c:dLbls>
        <c:firstSliceAng val="0"/>
        <c:holeSize val="60"/>
      </c:doughnutChart>
    </c:plotArea>
    <c:plotVisOnly val="1"/>
    <c:dispBlanksAs val="gap"/>
    <c:showDLblsOverMax val="0"/>
    <c:extLst/>
  </c:chart>
  <c:spPr>
    <a:noFill/>
    <a:ln w="9525" cap="flat" cmpd="sng" algn="ctr">
      <a:solidFill>
        <a:schemeClr val="accent1"/>
      </a:solidFill>
      <a:round/>
    </a:ln>
    <a:effectLst/>
  </c:spPr>
  <c:txPr>
    <a:bodyPr/>
    <a:lstStyle/>
    <a:p>
      <a:pPr marL="0" indent="0">
        <a:defRPr lang="en-US" sz="1200" b="1">
          <a:solidFill>
            <a:schemeClr val="tx1"/>
          </a:solidFill>
          <a:latin typeface="Times New Roman" panose="02020603050405020304" pitchFamily="18" charset="0"/>
          <a:ea typeface="+mn-ea"/>
          <a:cs typeface="Times New Roman" panose="02020603050405020304" pitchFamily="18" charset="0"/>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dLbls>
          <c:showLegendKey val="0"/>
          <c:showVal val="0"/>
          <c:showCatName val="0"/>
          <c:showSerName val="0"/>
          <c:showPercent val="0"/>
          <c:showBubbleSize val="0"/>
        </c:dLbls>
        <c:marker val="1"/>
        <c:smooth val="0"/>
        <c:axId val="684415248"/>
        <c:axId val="684410928"/>
      </c:lineChart>
      <c:catAx>
        <c:axId val="68441524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684410928"/>
        <c:crosses val="autoZero"/>
        <c:auto val="1"/>
        <c:lblAlgn val="ctr"/>
        <c:lblOffset val="100"/>
        <c:noMultiLvlLbl val="0"/>
      </c:catAx>
      <c:valAx>
        <c:axId val="684410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684415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400" b="1" i="0" u="none" strike="noStrike" kern="1200" spc="0" baseline="0">
                <a:solidFill>
                  <a:sysClr val="windowText" lastClr="000000"/>
                </a:solidFill>
                <a:latin typeface="Times New Roman" panose="02020603050405020304" pitchFamily="18" charset="0"/>
                <a:cs typeface="Times New Roman" panose="02020603050405020304" pitchFamily="18" charset="0"/>
              </a:rPr>
              <a:t>Distribution by Engine Location</a:t>
            </a:r>
          </a:p>
        </c:rich>
      </c:tx>
      <c:layout>
        <c:manualLayout>
          <c:xMode val="edge"/>
          <c:yMode val="edge"/>
          <c:x val="0.13387140434667621"/>
          <c:y val="7.805223148803199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dLbls>
          <c:dLblPos val="bestFit"/>
          <c:showLegendKey val="0"/>
          <c:showVal val="1"/>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Arial Narrow" panose="020B060602020203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1" i="0" u="none" strike="noStrike" kern="1200" spc="0" baseline="0">
                <a:solidFill>
                  <a:sysClr val="windowText" lastClr="000000"/>
                </a:solidFill>
                <a:latin typeface="Times New Roman" panose="02020603050405020304" pitchFamily="18" charset="0"/>
                <a:cs typeface="Times New Roman" panose="02020603050405020304" pitchFamily="18" charset="0"/>
              </a:rPr>
              <a:t>Distribution by Feul System</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19"/>
        <c:overlap val="-27"/>
        <c:axId val="684408048"/>
        <c:axId val="684424848"/>
      </c:barChart>
      <c:catAx>
        <c:axId val="68440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684424848"/>
        <c:crosses val="autoZero"/>
        <c:auto val="1"/>
        <c:lblAlgn val="ctr"/>
        <c:lblOffset val="100"/>
        <c:noMultiLvlLbl val="0"/>
      </c:catAx>
      <c:valAx>
        <c:axId val="68442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68440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[PROJECT.xlsx]Survival!PivotTable1</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0.10593968206804338"/>
          <c:y val="0.17021589555123823"/>
          <c:w val="0.70747783885504878"/>
          <c:h val="0.81724474122662893"/>
        </c:manualLayout>
      </c:layout>
      <c:doughnutChart>
        <c:varyColors val="1"/>
        <c:ser>
          <c:idx val="0"/>
          <c:order val="0"/>
          <c:tx>
            <c:strRef>
              <c:f>Survival!$B$3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75-4537-B0F6-DA71752E9B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75-4537-B0F6-DA71752E9BF5}"/>
              </c:ext>
            </c:extLst>
          </c:dPt>
          <c:cat>
            <c:strRef>
              <c:f>Survival!$A$4:$A$6</c:f>
              <c:strCache>
                <c:ptCount val="2"/>
                <c:pt idx="0">
                  <c:v>Not Survived</c:v>
                </c:pt>
                <c:pt idx="1">
                  <c:v>Survived</c:v>
                </c:pt>
              </c:strCache>
            </c:strRef>
          </c:cat>
          <c:val>
            <c:numRef>
              <c:f>Survival!$B$4:$B$6</c:f>
              <c:numCache>
                <c:formatCode>General</c:formatCode>
                <c:ptCount val="2"/>
                <c:pt idx="0">
                  <c:v>809</c:v>
                </c:pt>
                <c:pt idx="1">
                  <c:v>500</c:v>
                </c:pt>
              </c:numCache>
            </c:numRef>
          </c:val>
          <c:extLst>
            <c:ext xmlns:c16="http://schemas.microsoft.com/office/drawing/2014/chart" uri="{C3380CC4-5D6E-409C-BE32-E72D297353CC}">
              <c16:uniqueId val="{00000004-CC75-4537-B0F6-DA71752E9BF5}"/>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[PROJECT.xlsx]class!PivotTable2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314863762082541E-2"/>
          <c:y val="3.4567901234567898E-2"/>
          <c:w val="0.90132355812404474"/>
          <c:h val="0.86357072032662607"/>
        </c:manualLayout>
      </c:layout>
      <c:barChart>
        <c:barDir val="col"/>
        <c:grouping val="clustered"/>
        <c:varyColors val="0"/>
        <c:ser>
          <c:idx val="0"/>
          <c:order val="0"/>
          <c:tx>
            <c:strRef>
              <c:f>class!$B$3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class!$A$4:$A$7</c:f>
              <c:strCache>
                <c:ptCount val="3"/>
                <c:pt idx="0">
                  <c:v>Low Class</c:v>
                </c:pt>
                <c:pt idx="1">
                  <c:v>First Class</c:v>
                </c:pt>
                <c:pt idx="2">
                  <c:v>Middle Class</c:v>
                </c:pt>
              </c:strCache>
            </c:strRef>
          </c:cat>
          <c:val>
            <c:numRef>
              <c:f>class!$B$4:$B$7</c:f>
              <c:numCache>
                <c:formatCode>General</c:formatCode>
                <c:ptCount val="3"/>
                <c:pt idx="0">
                  <c:v>709</c:v>
                </c:pt>
                <c:pt idx="1">
                  <c:v>323</c:v>
                </c:pt>
                <c:pt idx="2">
                  <c:v>277</c:v>
                </c:pt>
              </c:numCache>
            </c:numRef>
          </c:val>
          <c:extLst>
            <c:ext xmlns:c16="http://schemas.microsoft.com/office/drawing/2014/chart" uri="{C3380CC4-5D6E-409C-BE32-E72D297353CC}">
              <c16:uniqueId val="{00000000-0864-4A1A-9248-A97E2E55C1DC}"/>
            </c:ext>
          </c:extLst>
        </c:ser>
        <c:dLbls>
          <c:dLblPos val="outEnd"/>
          <c:showLegendKey val="0"/>
          <c:showVal val="1"/>
          <c:showCatName val="0"/>
          <c:showSerName val="0"/>
          <c:showPercent val="0"/>
          <c:showBubbleSize val="0"/>
        </c:dLbls>
        <c:gapWidth val="219"/>
        <c:overlap val="-27"/>
        <c:axId val="513829887"/>
        <c:axId val="513827487"/>
      </c:barChart>
      <c:catAx>
        <c:axId val="513829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13827487"/>
        <c:crosses val="autoZero"/>
        <c:auto val="1"/>
        <c:lblAlgn val="ctr"/>
        <c:lblOffset val="100"/>
        <c:noMultiLvlLbl val="0"/>
      </c:catAx>
      <c:valAx>
        <c:axId val="513827487"/>
        <c:scaling>
          <c:orientation val="minMax"/>
        </c:scaling>
        <c:delete val="1"/>
        <c:axPos val="l"/>
        <c:numFmt formatCode="General" sourceLinked="1"/>
        <c:majorTickMark val="none"/>
        <c:minorTickMark val="none"/>
        <c:tickLblPos val="nextTo"/>
        <c:crossAx val="513829887"/>
        <c:crosses val="autoZero"/>
        <c:crossBetween val="between"/>
      </c:valAx>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[PROJECT.xlsx]gender!PivotTable5</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tx1"/>
            </a:solidFill>
          </a:ln>
          <a:effectLst/>
        </c:spPr>
      </c:pivotFmt>
      <c:pivotFmt>
        <c:idx val="8"/>
        <c:spPr>
          <a:solidFill>
            <a:schemeClr val="accent1"/>
          </a:solidFill>
          <a:ln w="19050">
            <a:solidFill>
              <a:schemeClr val="tx1"/>
            </a:solidFill>
          </a:ln>
          <a:effectLst/>
        </c:spPr>
      </c:pivotFmt>
    </c:pivotFmts>
    <c:plotArea>
      <c:layout>
        <c:manualLayout>
          <c:layoutTarget val="inner"/>
          <c:xMode val="edge"/>
          <c:yMode val="edge"/>
          <c:x val="0.17245213300118176"/>
          <c:y val="0.11812112996347081"/>
          <c:w val="0.59956557681744793"/>
          <c:h val="0.83758344630022763"/>
        </c:manualLayout>
      </c:layout>
      <c:pieChart>
        <c:varyColors val="1"/>
        <c:ser>
          <c:idx val="0"/>
          <c:order val="0"/>
          <c:tx>
            <c:strRef>
              <c:f>gender!$B$3</c:f>
              <c:strCache>
                <c:ptCount val="1"/>
                <c:pt idx="0">
                  <c:v>Total</c:v>
                </c:pt>
              </c:strCache>
            </c:strRef>
          </c:tx>
          <c:spPr>
            <a:ln>
              <a:solidFill>
                <a:schemeClr val="tx1"/>
              </a:solidFill>
            </a:ln>
          </c:spPr>
          <c:dPt>
            <c:idx val="0"/>
            <c:bubble3D val="0"/>
            <c:spPr>
              <a:solidFill>
                <a:schemeClr val="accent1"/>
              </a:solidFill>
              <a:ln w="19050">
                <a:solidFill>
                  <a:schemeClr val="tx1"/>
                </a:solidFill>
              </a:ln>
              <a:effectLst/>
            </c:spPr>
            <c:extLst>
              <c:ext xmlns:c16="http://schemas.microsoft.com/office/drawing/2014/chart" uri="{C3380CC4-5D6E-409C-BE32-E72D297353CC}">
                <c16:uniqueId val="{00000001-A16F-4B6F-91A6-66A1AE14DE64}"/>
              </c:ext>
            </c:extLst>
          </c:dPt>
          <c:dPt>
            <c:idx val="1"/>
            <c:bubble3D val="0"/>
            <c:spPr>
              <a:solidFill>
                <a:schemeClr val="accent2"/>
              </a:solidFill>
              <a:ln w="19050">
                <a:solidFill>
                  <a:schemeClr val="tx1"/>
                </a:solidFill>
              </a:ln>
              <a:effectLst/>
            </c:spPr>
            <c:extLst>
              <c:ext xmlns:c16="http://schemas.microsoft.com/office/drawing/2014/chart" uri="{C3380CC4-5D6E-409C-BE32-E72D297353CC}">
                <c16:uniqueId val="{00000003-A16F-4B6F-91A6-66A1AE14DE64}"/>
              </c:ext>
            </c:extLst>
          </c:dPt>
          <c:cat>
            <c:strRef>
              <c:f>gender!$A$4:$A$6</c:f>
              <c:strCache>
                <c:ptCount val="2"/>
                <c:pt idx="0">
                  <c:v>female</c:v>
                </c:pt>
                <c:pt idx="1">
                  <c:v>male</c:v>
                </c:pt>
              </c:strCache>
            </c:strRef>
          </c:cat>
          <c:val>
            <c:numRef>
              <c:f>gender!$B$4:$B$6</c:f>
              <c:numCache>
                <c:formatCode>General</c:formatCode>
                <c:ptCount val="2"/>
                <c:pt idx="0">
                  <c:v>466</c:v>
                </c:pt>
                <c:pt idx="1">
                  <c:v>843</c:v>
                </c:pt>
              </c:numCache>
            </c:numRef>
          </c:val>
          <c:extLst>
            <c:ext xmlns:c16="http://schemas.microsoft.com/office/drawing/2014/chart" uri="{C3380CC4-5D6E-409C-BE32-E72D297353CC}">
              <c16:uniqueId val="{00000004-A16F-4B6F-91A6-66A1AE14DE6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[PROJECT.xlsx]Sheet6!PivotTable7</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285181457580961E-2"/>
          <c:y val="5.9701515924909285E-2"/>
          <c:w val="0.97558798571231231"/>
          <c:h val="0.82521480205852704"/>
        </c:manualLayout>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Sheet6!$A$4:$A$13</c:f>
              <c:strCache>
                <c:ptCount val="9"/>
                <c:pt idx="0">
                  <c:v>0-9 years</c:v>
                </c:pt>
                <c:pt idx="1">
                  <c:v>10-19 years</c:v>
                </c:pt>
                <c:pt idx="2">
                  <c:v>19-29 years</c:v>
                </c:pt>
                <c:pt idx="3">
                  <c:v>29-39 years</c:v>
                </c:pt>
                <c:pt idx="4">
                  <c:v>39-49 years</c:v>
                </c:pt>
                <c:pt idx="5">
                  <c:v>49-59 years</c:v>
                </c:pt>
                <c:pt idx="6">
                  <c:v>59-69 years</c:v>
                </c:pt>
                <c:pt idx="7">
                  <c:v>69-79 years</c:v>
                </c:pt>
                <c:pt idx="8">
                  <c:v>79-89 years</c:v>
                </c:pt>
              </c:strCache>
            </c:strRef>
          </c:cat>
          <c:val>
            <c:numRef>
              <c:f>Sheet6!$B$4:$B$13</c:f>
              <c:numCache>
                <c:formatCode>General</c:formatCode>
                <c:ptCount val="9"/>
                <c:pt idx="0">
                  <c:v>82</c:v>
                </c:pt>
                <c:pt idx="1">
                  <c:v>143</c:v>
                </c:pt>
                <c:pt idx="2">
                  <c:v>607</c:v>
                </c:pt>
                <c:pt idx="3">
                  <c:v>232</c:v>
                </c:pt>
                <c:pt idx="4">
                  <c:v>135</c:v>
                </c:pt>
                <c:pt idx="5">
                  <c:v>70</c:v>
                </c:pt>
                <c:pt idx="6">
                  <c:v>32</c:v>
                </c:pt>
                <c:pt idx="7">
                  <c:v>7</c:v>
                </c:pt>
                <c:pt idx="8">
                  <c:v>1</c:v>
                </c:pt>
              </c:numCache>
            </c:numRef>
          </c:val>
          <c:extLst>
            <c:ext xmlns:c16="http://schemas.microsoft.com/office/drawing/2014/chart" uri="{C3380CC4-5D6E-409C-BE32-E72D297353CC}">
              <c16:uniqueId val="{00000000-2EA3-405A-80DD-F3D3F92D743F}"/>
            </c:ext>
          </c:extLst>
        </c:ser>
        <c:dLbls>
          <c:dLblPos val="outEnd"/>
          <c:showLegendKey val="0"/>
          <c:showVal val="1"/>
          <c:showCatName val="0"/>
          <c:showSerName val="0"/>
          <c:showPercent val="0"/>
          <c:showBubbleSize val="0"/>
        </c:dLbls>
        <c:gapWidth val="61"/>
        <c:overlap val="-27"/>
        <c:axId val="1168045024"/>
        <c:axId val="1168033504"/>
      </c:barChart>
      <c:catAx>
        <c:axId val="1168045024"/>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168033504"/>
        <c:crosses val="autoZero"/>
        <c:auto val="1"/>
        <c:lblAlgn val="ctr"/>
        <c:lblOffset val="100"/>
        <c:noMultiLvlLbl val="0"/>
      </c:catAx>
      <c:valAx>
        <c:axId val="1168033504"/>
        <c:scaling>
          <c:orientation val="minMax"/>
        </c:scaling>
        <c:delete val="1"/>
        <c:axPos val="l"/>
        <c:numFmt formatCode="General" sourceLinked="1"/>
        <c:majorTickMark val="none"/>
        <c:minorTickMark val="none"/>
        <c:tickLblPos val="nextTo"/>
        <c:crossAx val="1168045024"/>
        <c:crosses val="autoZero"/>
        <c:crossBetween val="between"/>
      </c:valAx>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[PROJECT.xlsx]Sheet6!PivotTable9</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100596760443309E-2"/>
          <c:y val="6.6666603038317312E-2"/>
          <c:w val="0.76225493552436385"/>
          <c:h val="0.75567763714852099"/>
        </c:manualLayout>
      </c:layout>
      <c:barChart>
        <c:barDir val="col"/>
        <c:grouping val="percentStacked"/>
        <c:varyColors val="0"/>
        <c:ser>
          <c:idx val="0"/>
          <c:order val="0"/>
          <c:tx>
            <c:strRef>
              <c:f>Sheet6!$B$21:$B$22</c:f>
              <c:strCache>
                <c:ptCount val="1"/>
                <c:pt idx="0">
                  <c:v>Not Survived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Sheet6!$A$23:$A$32</c:f>
              <c:strCache>
                <c:ptCount val="9"/>
                <c:pt idx="0">
                  <c:v>0-9 years</c:v>
                </c:pt>
                <c:pt idx="1">
                  <c:v>10-19 years</c:v>
                </c:pt>
                <c:pt idx="2">
                  <c:v>19-29 years</c:v>
                </c:pt>
                <c:pt idx="3">
                  <c:v>29-39 years</c:v>
                </c:pt>
                <c:pt idx="4">
                  <c:v>39-49 years</c:v>
                </c:pt>
                <c:pt idx="5">
                  <c:v>49-59 years</c:v>
                </c:pt>
                <c:pt idx="6">
                  <c:v>59-69 years</c:v>
                </c:pt>
                <c:pt idx="7">
                  <c:v>69-79 years</c:v>
                </c:pt>
                <c:pt idx="8">
                  <c:v>79-89 years</c:v>
                </c:pt>
              </c:strCache>
            </c:strRef>
          </c:cat>
          <c:val>
            <c:numRef>
              <c:f>Sheet6!$B$23:$B$32</c:f>
              <c:numCache>
                <c:formatCode>General</c:formatCode>
                <c:ptCount val="9"/>
                <c:pt idx="0">
                  <c:v>32</c:v>
                </c:pt>
                <c:pt idx="1">
                  <c:v>87</c:v>
                </c:pt>
                <c:pt idx="2">
                  <c:v>407</c:v>
                </c:pt>
                <c:pt idx="3">
                  <c:v>134</c:v>
                </c:pt>
                <c:pt idx="4">
                  <c:v>83</c:v>
                </c:pt>
                <c:pt idx="5">
                  <c:v>38</c:v>
                </c:pt>
                <c:pt idx="6">
                  <c:v>22</c:v>
                </c:pt>
                <c:pt idx="7">
                  <c:v>6</c:v>
                </c:pt>
              </c:numCache>
            </c:numRef>
          </c:val>
          <c:extLst>
            <c:ext xmlns:c16="http://schemas.microsoft.com/office/drawing/2014/chart" uri="{C3380CC4-5D6E-409C-BE32-E72D297353CC}">
              <c16:uniqueId val="{00000000-FDE7-44AB-812D-D3C69D1AA862}"/>
            </c:ext>
          </c:extLst>
        </c:ser>
        <c:ser>
          <c:idx val="1"/>
          <c:order val="1"/>
          <c:tx>
            <c:strRef>
              <c:f>Sheet6!$C$21:$C$22</c:f>
              <c:strCache>
                <c:ptCount val="1"/>
                <c:pt idx="0">
                  <c:v>Survived</c:v>
                </c:pt>
              </c:strCache>
            </c:strRef>
          </c:tx>
          <c:spPr>
            <a:solidFill>
              <a:schemeClr val="accent2"/>
            </a:solidFill>
            <a:ln>
              <a:noFill/>
            </a:ln>
            <a:effectLst/>
          </c:spPr>
          <c:invertIfNegative val="0"/>
          <c:cat>
            <c:strRef>
              <c:f>Sheet6!$A$23:$A$32</c:f>
              <c:strCache>
                <c:ptCount val="9"/>
                <c:pt idx="0">
                  <c:v>0-9 years</c:v>
                </c:pt>
                <c:pt idx="1">
                  <c:v>10-19 years</c:v>
                </c:pt>
                <c:pt idx="2">
                  <c:v>19-29 years</c:v>
                </c:pt>
                <c:pt idx="3">
                  <c:v>29-39 years</c:v>
                </c:pt>
                <c:pt idx="4">
                  <c:v>39-49 years</c:v>
                </c:pt>
                <c:pt idx="5">
                  <c:v>49-59 years</c:v>
                </c:pt>
                <c:pt idx="6">
                  <c:v>59-69 years</c:v>
                </c:pt>
                <c:pt idx="7">
                  <c:v>69-79 years</c:v>
                </c:pt>
                <c:pt idx="8">
                  <c:v>79-89 years</c:v>
                </c:pt>
              </c:strCache>
            </c:strRef>
          </c:cat>
          <c:val>
            <c:numRef>
              <c:f>Sheet6!$C$23:$C$32</c:f>
              <c:numCache>
                <c:formatCode>General</c:formatCode>
                <c:ptCount val="9"/>
                <c:pt idx="0">
                  <c:v>50</c:v>
                </c:pt>
                <c:pt idx="1">
                  <c:v>56</c:v>
                </c:pt>
                <c:pt idx="2">
                  <c:v>200</c:v>
                </c:pt>
                <c:pt idx="3">
                  <c:v>98</c:v>
                </c:pt>
                <c:pt idx="4">
                  <c:v>52</c:v>
                </c:pt>
                <c:pt idx="5">
                  <c:v>32</c:v>
                </c:pt>
                <c:pt idx="6">
                  <c:v>10</c:v>
                </c:pt>
                <c:pt idx="7">
                  <c:v>1</c:v>
                </c:pt>
                <c:pt idx="8">
                  <c:v>1</c:v>
                </c:pt>
              </c:numCache>
            </c:numRef>
          </c:val>
          <c:extLst>
            <c:ext xmlns:c16="http://schemas.microsoft.com/office/drawing/2014/chart" uri="{C3380CC4-5D6E-409C-BE32-E72D297353CC}">
              <c16:uniqueId val="{00000009-FDE7-44AB-812D-D3C69D1AA862}"/>
            </c:ext>
          </c:extLst>
        </c:ser>
        <c:dLbls>
          <c:showLegendKey val="0"/>
          <c:showVal val="0"/>
          <c:showCatName val="0"/>
          <c:showSerName val="0"/>
          <c:showPercent val="0"/>
          <c:showBubbleSize val="0"/>
        </c:dLbls>
        <c:gapWidth val="70"/>
        <c:overlap val="100"/>
        <c:axId val="593316015"/>
        <c:axId val="593310735"/>
      </c:barChart>
      <c:catAx>
        <c:axId val="59331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593310735"/>
        <c:crosses val="autoZero"/>
        <c:auto val="1"/>
        <c:lblAlgn val="ctr"/>
        <c:lblOffset val="100"/>
        <c:noMultiLvlLbl val="0"/>
      </c:catAx>
      <c:valAx>
        <c:axId val="593310735"/>
        <c:scaling>
          <c:orientation val="minMax"/>
        </c:scaling>
        <c:delete val="1"/>
        <c:axPos val="l"/>
        <c:numFmt formatCode="0%" sourceLinked="1"/>
        <c:majorTickMark val="none"/>
        <c:minorTickMark val="none"/>
        <c:tickLblPos val="nextTo"/>
        <c:crossAx val="593316015"/>
        <c:crosses val="autoZero"/>
        <c:crossBetween val="between"/>
      </c:valAx>
      <c:spPr>
        <a:noFill/>
        <a:ln>
          <a:noFill/>
        </a:ln>
        <a:effectLst/>
      </c:spPr>
    </c:plotArea>
    <c:legend>
      <c:legendPos val="r"/>
      <c:layout>
        <c:manualLayout>
          <c:xMode val="edge"/>
          <c:yMode val="edge"/>
          <c:x val="0.79844399245490738"/>
          <c:y val="0.29064730074225653"/>
          <c:w val="0.17795705204368636"/>
          <c:h val="0.3530490545940781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[PROJECT.xlsx]gender!PivotTable6</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134233220847389E-2"/>
          <c:y val="5.4054054054054057E-2"/>
          <c:w val="0.96986576677915259"/>
          <c:h val="0.84204496177108301"/>
        </c:manualLayout>
      </c:layout>
      <c:barChart>
        <c:barDir val="col"/>
        <c:grouping val="clustered"/>
        <c:varyColors val="0"/>
        <c:ser>
          <c:idx val="0"/>
          <c:order val="0"/>
          <c:tx>
            <c:strRef>
              <c:f>gender!$B$26:$B$27</c:f>
              <c:strCache>
                <c:ptCount val="1"/>
                <c:pt idx="0">
                  <c:v>Not Survived</c:v>
                </c:pt>
              </c:strCache>
            </c:strRef>
          </c:tx>
          <c:spPr>
            <a:solidFill>
              <a:schemeClr val="accent1"/>
            </a:solidFill>
            <a:ln>
              <a:solidFill>
                <a:schemeClr val="tx1"/>
              </a:solidFill>
            </a:ln>
            <a:effectLst/>
          </c:spPr>
          <c:invertIfNegative val="0"/>
          <c:cat>
            <c:strRef>
              <c:f>gender!$A$28:$A$30</c:f>
              <c:strCache>
                <c:ptCount val="2"/>
                <c:pt idx="0">
                  <c:v>female</c:v>
                </c:pt>
                <c:pt idx="1">
                  <c:v>male</c:v>
                </c:pt>
              </c:strCache>
            </c:strRef>
          </c:cat>
          <c:val>
            <c:numRef>
              <c:f>gender!$B$28:$B$30</c:f>
              <c:numCache>
                <c:formatCode>0.0%</c:formatCode>
                <c:ptCount val="2"/>
                <c:pt idx="0">
                  <c:v>0.27253218884120173</c:v>
                </c:pt>
                <c:pt idx="1">
                  <c:v>0.80901542111506519</c:v>
                </c:pt>
              </c:numCache>
            </c:numRef>
          </c:val>
          <c:extLst>
            <c:ext xmlns:c16="http://schemas.microsoft.com/office/drawing/2014/chart" uri="{C3380CC4-5D6E-409C-BE32-E72D297353CC}">
              <c16:uniqueId val="{00000000-977C-4A19-9D84-533F4E0E5C5C}"/>
            </c:ext>
          </c:extLst>
        </c:ser>
        <c:ser>
          <c:idx val="1"/>
          <c:order val="1"/>
          <c:tx>
            <c:strRef>
              <c:f>gender!$C$26:$C$27</c:f>
              <c:strCache>
                <c:ptCount val="1"/>
                <c:pt idx="0">
                  <c:v>Survived</c:v>
                </c:pt>
              </c:strCache>
            </c:strRef>
          </c:tx>
          <c:spPr>
            <a:solidFill>
              <a:schemeClr val="accent2"/>
            </a:solidFill>
            <a:ln>
              <a:noFill/>
            </a:ln>
            <a:effectLst/>
          </c:spPr>
          <c:invertIfNegative val="0"/>
          <c:dLbls>
            <c:spPr>
              <a:no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gender!$A$28:$A$30</c:f>
              <c:strCache>
                <c:ptCount val="2"/>
                <c:pt idx="0">
                  <c:v>female</c:v>
                </c:pt>
                <c:pt idx="1">
                  <c:v>male</c:v>
                </c:pt>
              </c:strCache>
            </c:strRef>
          </c:cat>
          <c:val>
            <c:numRef>
              <c:f>gender!$C$28:$C$30</c:f>
              <c:numCache>
                <c:formatCode>0.0%</c:formatCode>
                <c:ptCount val="2"/>
                <c:pt idx="0">
                  <c:v>0.72746781115879833</c:v>
                </c:pt>
                <c:pt idx="1">
                  <c:v>0.19098457888493475</c:v>
                </c:pt>
              </c:numCache>
            </c:numRef>
          </c:val>
          <c:extLst>
            <c:ext xmlns:c16="http://schemas.microsoft.com/office/drawing/2014/chart" uri="{C3380CC4-5D6E-409C-BE32-E72D297353CC}">
              <c16:uniqueId val="{00000009-977C-4A19-9D84-533F4E0E5C5C}"/>
            </c:ext>
          </c:extLst>
        </c:ser>
        <c:dLbls>
          <c:showLegendKey val="0"/>
          <c:showVal val="0"/>
          <c:showCatName val="0"/>
          <c:showSerName val="0"/>
          <c:showPercent val="0"/>
          <c:showBubbleSize val="0"/>
        </c:dLbls>
        <c:gapWidth val="150"/>
        <c:axId val="604584879"/>
        <c:axId val="604597359"/>
      </c:barChart>
      <c:catAx>
        <c:axId val="60458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604597359"/>
        <c:crosses val="autoZero"/>
        <c:auto val="1"/>
        <c:lblAlgn val="ctr"/>
        <c:lblOffset val="100"/>
        <c:noMultiLvlLbl val="0"/>
      </c:catAx>
      <c:valAx>
        <c:axId val="604597359"/>
        <c:scaling>
          <c:orientation val="minMax"/>
          <c:min val="0.2"/>
        </c:scaling>
        <c:delete val="1"/>
        <c:axPos val="l"/>
        <c:numFmt formatCode="0.0%" sourceLinked="1"/>
        <c:majorTickMark val="none"/>
        <c:minorTickMark val="none"/>
        <c:tickLblPos val="nextTo"/>
        <c:crossAx val="604584879"/>
        <c:crosses val="autoZero"/>
        <c:crossBetween val="between"/>
      </c:valAx>
      <c:spPr>
        <a:noFill/>
        <a:ln>
          <a:solidFill>
            <a:schemeClr val="tx1"/>
          </a:solidFill>
        </a:ln>
        <a:effectLst/>
      </c:spPr>
    </c:plotArea>
    <c:legend>
      <c:legendPos val="r"/>
      <c:layout>
        <c:manualLayout>
          <c:xMode val="edge"/>
          <c:yMode val="edge"/>
          <c:x val="0.7914819688634811"/>
          <c:y val="0.41509354726885556"/>
          <c:w val="0.18660022291734077"/>
          <c:h val="0.2654099935621254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[PROJECT.xlsx]class!PivotTable4</c:name>
    <c:fmtId val="7"/>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603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4">
                      <a:lumMod val="75000"/>
                    </a:schemeClr>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635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487441220899E-2"/>
          <c:y val="3.3452922257044007E-2"/>
          <c:w val="0.97231498070389388"/>
          <c:h val="0.94902127568472006"/>
        </c:manualLayout>
      </c:layout>
      <c:lineChart>
        <c:grouping val="standard"/>
        <c:varyColors val="0"/>
        <c:ser>
          <c:idx val="0"/>
          <c:order val="0"/>
          <c:tx>
            <c:strRef>
              <c:f>class!$B$21:$B$22</c:f>
              <c:strCache>
                <c:ptCount val="1"/>
                <c:pt idx="0">
                  <c:v>Not Survived</c:v>
                </c:pt>
              </c:strCache>
            </c:strRef>
          </c:tx>
          <c:spPr>
            <a:ln w="6032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4">
                        <a:lumMod val="75000"/>
                      </a:schemeClr>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class!$A$23:$A$26</c:f>
              <c:strCache>
                <c:ptCount val="3"/>
                <c:pt idx="0">
                  <c:v>First Class</c:v>
                </c:pt>
                <c:pt idx="1">
                  <c:v>Low Class</c:v>
                </c:pt>
                <c:pt idx="2">
                  <c:v>Middle Class</c:v>
                </c:pt>
              </c:strCache>
            </c:strRef>
          </c:cat>
          <c:val>
            <c:numRef>
              <c:f>class!$B$23:$B$26</c:f>
              <c:numCache>
                <c:formatCode>General</c:formatCode>
                <c:ptCount val="3"/>
                <c:pt idx="0">
                  <c:v>123</c:v>
                </c:pt>
                <c:pt idx="1">
                  <c:v>528</c:v>
                </c:pt>
                <c:pt idx="2">
                  <c:v>158</c:v>
                </c:pt>
              </c:numCache>
            </c:numRef>
          </c:val>
          <c:smooth val="1"/>
          <c:extLst>
            <c:ext xmlns:c16="http://schemas.microsoft.com/office/drawing/2014/chart" uri="{C3380CC4-5D6E-409C-BE32-E72D297353CC}">
              <c16:uniqueId val="{00000000-F6C3-456E-A8D8-97F63A2A797C}"/>
            </c:ext>
          </c:extLst>
        </c:ser>
        <c:ser>
          <c:idx val="1"/>
          <c:order val="1"/>
          <c:tx>
            <c:strRef>
              <c:f>class!$C$21:$C$22</c:f>
              <c:strCache>
                <c:ptCount val="1"/>
                <c:pt idx="0">
                  <c:v>Survived</c:v>
                </c:pt>
              </c:strCache>
            </c:strRef>
          </c:tx>
          <c:spPr>
            <a:ln w="6350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2"/>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class!$A$23:$A$26</c:f>
              <c:strCache>
                <c:ptCount val="3"/>
                <c:pt idx="0">
                  <c:v>First Class</c:v>
                </c:pt>
                <c:pt idx="1">
                  <c:v>Low Class</c:v>
                </c:pt>
                <c:pt idx="2">
                  <c:v>Middle Class</c:v>
                </c:pt>
              </c:strCache>
            </c:strRef>
          </c:cat>
          <c:val>
            <c:numRef>
              <c:f>class!$C$23:$C$26</c:f>
              <c:numCache>
                <c:formatCode>General</c:formatCode>
                <c:ptCount val="3"/>
                <c:pt idx="0">
                  <c:v>200</c:v>
                </c:pt>
                <c:pt idx="1">
                  <c:v>181</c:v>
                </c:pt>
                <c:pt idx="2">
                  <c:v>119</c:v>
                </c:pt>
              </c:numCache>
            </c:numRef>
          </c:val>
          <c:smooth val="0"/>
          <c:extLst>
            <c:ext xmlns:c16="http://schemas.microsoft.com/office/drawing/2014/chart" uri="{C3380CC4-5D6E-409C-BE32-E72D297353CC}">
              <c16:uniqueId val="{00000009-F6C3-456E-A8D8-97F63A2A797C}"/>
            </c:ext>
          </c:extLst>
        </c:ser>
        <c:dLbls>
          <c:dLblPos val="t"/>
          <c:showLegendKey val="0"/>
          <c:showVal val="1"/>
          <c:showCatName val="0"/>
          <c:showSerName val="0"/>
          <c:showPercent val="0"/>
          <c:showBubbleSize val="0"/>
        </c:dLbls>
        <c:smooth val="0"/>
        <c:axId val="661691487"/>
        <c:axId val="661694367"/>
      </c:lineChart>
      <c:catAx>
        <c:axId val="661691487"/>
        <c:scaling>
          <c:orientation val="minMax"/>
        </c:scaling>
        <c:delete val="1"/>
        <c:axPos val="b"/>
        <c:numFmt formatCode="General" sourceLinked="1"/>
        <c:majorTickMark val="none"/>
        <c:minorTickMark val="none"/>
        <c:tickLblPos val="nextTo"/>
        <c:crossAx val="661694367"/>
        <c:crosses val="autoZero"/>
        <c:auto val="1"/>
        <c:lblAlgn val="ctr"/>
        <c:lblOffset val="100"/>
        <c:noMultiLvlLbl val="0"/>
      </c:catAx>
      <c:valAx>
        <c:axId val="661694367"/>
        <c:scaling>
          <c:orientation val="minMax"/>
          <c:min val="0.2"/>
        </c:scaling>
        <c:delete val="1"/>
        <c:axPos val="l"/>
        <c:numFmt formatCode="General" sourceLinked="1"/>
        <c:majorTickMark val="none"/>
        <c:minorTickMark val="none"/>
        <c:tickLblPos val="nextTo"/>
        <c:crossAx val="661691487"/>
        <c:crosses val="autoZero"/>
        <c:crossBetween val="between"/>
      </c:valAx>
      <c:spPr>
        <a:noFill/>
        <a:ln w="1270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chart" Target="../charts/chart19.xml"/><Relationship Id="rId3" Type="http://schemas.openxmlformats.org/officeDocument/2006/relationships/chart" Target="../charts/chart11.xml"/><Relationship Id="rId7" Type="http://schemas.openxmlformats.org/officeDocument/2006/relationships/image" Target="../media/image1.png"/><Relationship Id="rId12" Type="http://schemas.openxmlformats.org/officeDocument/2006/relationships/chart" Target="../charts/chart18.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chart" Target="../charts/chart17.xml"/><Relationship Id="rId5" Type="http://schemas.openxmlformats.org/officeDocument/2006/relationships/chart" Target="../charts/chart13.xml"/><Relationship Id="rId15" Type="http://schemas.openxmlformats.org/officeDocument/2006/relationships/chart" Target="../charts/chart21.xml"/><Relationship Id="rId10" Type="http://schemas.openxmlformats.org/officeDocument/2006/relationships/chart" Target="../charts/chart16.xml"/><Relationship Id="rId4" Type="http://schemas.openxmlformats.org/officeDocument/2006/relationships/chart" Target="../charts/chart12.xml"/><Relationship Id="rId9" Type="http://schemas.openxmlformats.org/officeDocument/2006/relationships/chart" Target="../charts/chart15.xml"/><Relationship Id="rId14"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7</xdr:col>
      <xdr:colOff>569302</xdr:colOff>
      <xdr:row>6</xdr:row>
      <xdr:rowOff>96348</xdr:rowOff>
    </xdr:from>
    <xdr:to>
      <xdr:col>15</xdr:col>
      <xdr:colOff>264502</xdr:colOff>
      <xdr:row>20</xdr:row>
      <xdr:rowOff>172548</xdr:rowOff>
    </xdr:to>
    <xdr:graphicFrame macro="">
      <xdr:nvGraphicFramePr>
        <xdr:cNvPr id="2" name="Chart 1">
          <a:extLst>
            <a:ext uri="{FF2B5EF4-FFF2-40B4-BE49-F238E27FC236}">
              <a16:creationId xmlns:a16="http://schemas.microsoft.com/office/drawing/2014/main" id="{779EAB8B-40EB-B628-D0C3-8474C24CCE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390525</xdr:colOff>
      <xdr:row>0</xdr:row>
      <xdr:rowOff>80962</xdr:rowOff>
    </xdr:from>
    <xdr:to>
      <xdr:col>10</xdr:col>
      <xdr:colOff>85725</xdr:colOff>
      <xdr:row>14</xdr:row>
      <xdr:rowOff>157162</xdr:rowOff>
    </xdr:to>
    <xdr:graphicFrame macro="">
      <xdr:nvGraphicFramePr>
        <xdr:cNvPr id="2" name="Chart 1">
          <a:extLst>
            <a:ext uri="{FF2B5EF4-FFF2-40B4-BE49-F238E27FC236}">
              <a16:creationId xmlns:a16="http://schemas.microsoft.com/office/drawing/2014/main" id="{677A8ECD-D0E8-1805-8587-BA0E9CF662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28575</xdr:colOff>
      <xdr:row>17</xdr:row>
      <xdr:rowOff>52387</xdr:rowOff>
    </xdr:from>
    <xdr:to>
      <xdr:col>12</xdr:col>
      <xdr:colOff>333375</xdr:colOff>
      <xdr:row>31</xdr:row>
      <xdr:rowOff>128587</xdr:rowOff>
    </xdr:to>
    <xdr:graphicFrame macro="">
      <xdr:nvGraphicFramePr>
        <xdr:cNvPr id="3" name="Chart 2">
          <a:extLst>
            <a:ext uri="{FF2B5EF4-FFF2-40B4-BE49-F238E27FC236}">
              <a16:creationId xmlns:a16="http://schemas.microsoft.com/office/drawing/2014/main" id="{27D273AC-33B7-2029-E55F-0E2BF14CB3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209550</xdr:colOff>
      <xdr:row>35</xdr:row>
      <xdr:rowOff>109537</xdr:rowOff>
    </xdr:from>
    <xdr:to>
      <xdr:col>12</xdr:col>
      <xdr:colOff>514350</xdr:colOff>
      <xdr:row>49</xdr:row>
      <xdr:rowOff>185737</xdr:rowOff>
    </xdr:to>
    <xdr:graphicFrame macro="">
      <xdr:nvGraphicFramePr>
        <xdr:cNvPr id="4" name="Chart 3">
          <a:extLst>
            <a:ext uri="{FF2B5EF4-FFF2-40B4-BE49-F238E27FC236}">
              <a16:creationId xmlns:a16="http://schemas.microsoft.com/office/drawing/2014/main" id="{2A4D1FC0-FE50-8CBA-1182-3EA28F79D9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495300</xdr:colOff>
      <xdr:row>0</xdr:row>
      <xdr:rowOff>90487</xdr:rowOff>
    </xdr:from>
    <xdr:to>
      <xdr:col>10</xdr:col>
      <xdr:colOff>190500</xdr:colOff>
      <xdr:row>14</xdr:row>
      <xdr:rowOff>166687</xdr:rowOff>
    </xdr:to>
    <xdr:graphicFrame macro="">
      <xdr:nvGraphicFramePr>
        <xdr:cNvPr id="2" name="Chart 1">
          <a:extLst>
            <a:ext uri="{FF2B5EF4-FFF2-40B4-BE49-F238E27FC236}">
              <a16:creationId xmlns:a16="http://schemas.microsoft.com/office/drawing/2014/main" id="{04843380-1794-65F0-25D1-1D323C0E76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295275</xdr:colOff>
      <xdr:row>16</xdr:row>
      <xdr:rowOff>100012</xdr:rowOff>
    </xdr:from>
    <xdr:to>
      <xdr:col>12</xdr:col>
      <xdr:colOff>600075</xdr:colOff>
      <xdr:row>30</xdr:row>
      <xdr:rowOff>176212</xdr:rowOff>
    </xdr:to>
    <xdr:graphicFrame macro="">
      <xdr:nvGraphicFramePr>
        <xdr:cNvPr id="3" name="Chart 2">
          <a:extLst>
            <a:ext uri="{FF2B5EF4-FFF2-40B4-BE49-F238E27FC236}">
              <a16:creationId xmlns:a16="http://schemas.microsoft.com/office/drawing/2014/main" id="{E7E018F4-A045-772A-4F0B-43D30B3F02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266700</xdr:colOff>
      <xdr:row>1</xdr:row>
      <xdr:rowOff>23812</xdr:rowOff>
    </xdr:from>
    <xdr:to>
      <xdr:col>9</xdr:col>
      <xdr:colOff>571500</xdr:colOff>
      <xdr:row>15</xdr:row>
      <xdr:rowOff>100012</xdr:rowOff>
    </xdr:to>
    <xdr:graphicFrame macro="">
      <xdr:nvGraphicFramePr>
        <xdr:cNvPr id="2" name="Chart 1">
          <a:extLst>
            <a:ext uri="{FF2B5EF4-FFF2-40B4-BE49-F238E27FC236}">
              <a16:creationId xmlns:a16="http://schemas.microsoft.com/office/drawing/2014/main" id="{D7647D59-E550-9E8B-1130-63D4F7A4A6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257175</xdr:colOff>
      <xdr:row>16</xdr:row>
      <xdr:rowOff>138112</xdr:rowOff>
    </xdr:from>
    <xdr:to>
      <xdr:col>12</xdr:col>
      <xdr:colOff>190500</xdr:colOff>
      <xdr:row>30</xdr:row>
      <xdr:rowOff>180975</xdr:rowOff>
    </xdr:to>
    <xdr:graphicFrame macro="">
      <xdr:nvGraphicFramePr>
        <xdr:cNvPr id="3" name="Chart 2">
          <a:extLst>
            <a:ext uri="{FF2B5EF4-FFF2-40B4-BE49-F238E27FC236}">
              <a16:creationId xmlns:a16="http://schemas.microsoft.com/office/drawing/2014/main" id="{2E5F15FC-DB9C-8CD8-6A24-E13304334F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xdr:colOff>
      <xdr:row>0</xdr:row>
      <xdr:rowOff>51953</xdr:rowOff>
    </xdr:from>
    <xdr:to>
      <xdr:col>24</xdr:col>
      <xdr:colOff>190501</xdr:colOff>
      <xdr:row>5</xdr:row>
      <xdr:rowOff>8659</xdr:rowOff>
    </xdr:to>
    <xdr:sp macro="" textlink="">
      <xdr:nvSpPr>
        <xdr:cNvPr id="4" name="Rectangle: Rounded Corners 3">
          <a:extLst>
            <a:ext uri="{FF2B5EF4-FFF2-40B4-BE49-F238E27FC236}">
              <a16:creationId xmlns:a16="http://schemas.microsoft.com/office/drawing/2014/main" id="{773A9FEB-DA58-4B3B-9F5C-FD8E8824F306}"/>
            </a:ext>
          </a:extLst>
        </xdr:cNvPr>
        <xdr:cNvSpPr/>
      </xdr:nvSpPr>
      <xdr:spPr>
        <a:xfrm>
          <a:off x="1" y="51953"/>
          <a:ext cx="14820900" cy="909206"/>
        </a:xfrm>
        <a:prstGeom prst="roundRect">
          <a:avLst>
            <a:gd name="adj" fmla="val 8559"/>
          </a:avLst>
        </a:prstGeom>
        <a:solidFill>
          <a:schemeClr val="accent1">
            <a:lumMod val="40000"/>
            <a:lumOff val="60000"/>
          </a:schemeClr>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0</xdr:colOff>
      <xdr:row>0</xdr:row>
      <xdr:rowOff>19051</xdr:rowOff>
    </xdr:from>
    <xdr:ext cx="15078075" cy="1065613"/>
    <xdr:sp macro="" textlink="">
      <xdr:nvSpPr>
        <xdr:cNvPr id="6" name="Rectangle 5">
          <a:extLst>
            <a:ext uri="{FF2B5EF4-FFF2-40B4-BE49-F238E27FC236}">
              <a16:creationId xmlns:a16="http://schemas.microsoft.com/office/drawing/2014/main" id="{052D36D1-07C3-4DC2-A1AE-E3DD3D7C6D65}"/>
            </a:ext>
          </a:extLst>
        </xdr:cNvPr>
        <xdr:cNvSpPr/>
      </xdr:nvSpPr>
      <xdr:spPr>
        <a:xfrm>
          <a:off x="0" y="19051"/>
          <a:ext cx="15078075" cy="1065613"/>
        </a:xfrm>
        <a:prstGeom prst="rect">
          <a:avLst/>
        </a:prstGeom>
        <a:solidFill>
          <a:schemeClr val="bg2"/>
        </a:solidFill>
        <a:ln>
          <a:noFill/>
        </a:ln>
      </xdr:spPr>
      <xdr:txBody>
        <a:bodyPr wrap="square" lIns="91440" tIns="45720" rIns="91440" bIns="45720">
          <a:spAutoFit/>
        </a:bodyPr>
        <a:lstStyle/>
        <a:p>
          <a:pPr algn="l"/>
          <a:r>
            <a:rPr lang="en-US" sz="6600" b="1" cap="none" spc="0">
              <a:ln w="0"/>
              <a:solidFill>
                <a:schemeClr val="accent6">
                  <a:lumMod val="50000"/>
                </a:schemeClr>
              </a:solidFill>
              <a:effectLst>
                <a:outerShdw blurRad="38100" dist="19050" dir="2700000" algn="tl" rotWithShape="0">
                  <a:schemeClr val="dk1">
                    <a:alpha val="40000"/>
                  </a:schemeClr>
                </a:outerShdw>
              </a:effectLst>
              <a:latin typeface="Times New Roman" panose="02020603050405020304" pitchFamily="18" charset="0"/>
              <a:ea typeface="Calibri" panose="020F0502020204030204" pitchFamily="34" charset="0"/>
              <a:cs typeface="Times New Roman" panose="02020603050405020304" pitchFamily="18" charset="0"/>
            </a:rPr>
            <a:t>     </a:t>
          </a:r>
          <a:r>
            <a:rPr lang="en-US" sz="66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Calibri" panose="020F0502020204030204" pitchFamily="34" charset="0"/>
              <a:cs typeface="Times New Roman" panose="02020603050405020304" pitchFamily="18" charset="0"/>
            </a:rPr>
            <a:t>RMS TITANIC DATA DASHBOARD</a:t>
          </a:r>
          <a:r>
            <a:rPr lang="en-US" sz="6600" b="1"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Calibri" panose="020F0502020204030204" pitchFamily="34" charset="0"/>
              <a:cs typeface="Times New Roman" panose="02020603050405020304" pitchFamily="18" charset="0"/>
            </a:rPr>
            <a:t> </a:t>
          </a:r>
          <a:endParaRPr lang="en-US" sz="66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Calibri" panose="020F0502020204030204" pitchFamily="34" charset="0"/>
            <a:cs typeface="Times New Roman" panose="02020603050405020304" pitchFamily="18" charset="0"/>
          </a:endParaRPr>
        </a:p>
      </xdr:txBody>
    </xdr:sp>
    <xdr:clientData/>
  </xdr:oneCellAnchor>
  <xdr:twoCellAnchor>
    <xdr:from>
      <xdr:col>21</xdr:col>
      <xdr:colOff>579243</xdr:colOff>
      <xdr:row>0</xdr:row>
      <xdr:rowOff>89750</xdr:rowOff>
    </xdr:from>
    <xdr:to>
      <xdr:col>25</xdr:col>
      <xdr:colOff>224220</xdr:colOff>
      <xdr:row>2</xdr:row>
      <xdr:rowOff>193659</xdr:rowOff>
    </xdr:to>
    <xdr:sp macro="" textlink="">
      <xdr:nvSpPr>
        <xdr:cNvPr id="8" name="TextBox 7">
          <a:extLst>
            <a:ext uri="{FF2B5EF4-FFF2-40B4-BE49-F238E27FC236}">
              <a16:creationId xmlns:a16="http://schemas.microsoft.com/office/drawing/2014/main" id="{817D0C2E-0F5C-48A0-AEE8-5F2C7F95F9FE}"/>
            </a:ext>
          </a:extLst>
        </xdr:cNvPr>
        <xdr:cNvSpPr txBox="1"/>
      </xdr:nvSpPr>
      <xdr:spPr>
        <a:xfrm>
          <a:off x="14981043" y="89750"/>
          <a:ext cx="2388177" cy="52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3200" b="1" i="0" u="none" strike="noStrike">
            <a:solidFill>
              <a:schemeClr val="accent6">
                <a:lumMod val="50000"/>
              </a:schemeClr>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0</xdr:col>
      <xdr:colOff>0</xdr:colOff>
      <xdr:row>9</xdr:row>
      <xdr:rowOff>114300</xdr:rowOff>
    </xdr:from>
    <xdr:to>
      <xdr:col>3</xdr:col>
      <xdr:colOff>327315</xdr:colOff>
      <xdr:row>36</xdr:row>
      <xdr:rowOff>28576</xdr:rowOff>
    </xdr:to>
    <xdr:sp macro="" textlink="">
      <xdr:nvSpPr>
        <xdr:cNvPr id="10" name="Rectangle: Rounded Corners 9">
          <a:extLst>
            <a:ext uri="{FF2B5EF4-FFF2-40B4-BE49-F238E27FC236}">
              <a16:creationId xmlns:a16="http://schemas.microsoft.com/office/drawing/2014/main" id="{3A40F041-5703-4C39-987F-0A930D1FB15C}"/>
            </a:ext>
          </a:extLst>
        </xdr:cNvPr>
        <xdr:cNvSpPr/>
      </xdr:nvSpPr>
      <xdr:spPr>
        <a:xfrm>
          <a:off x="0" y="1828800"/>
          <a:ext cx="2156115" cy="5153026"/>
        </a:xfrm>
        <a:prstGeom prst="roundRect">
          <a:avLst>
            <a:gd name="adj" fmla="val 1888"/>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latin typeface="Times New Roman" panose="02020603050405020304" pitchFamily="18" charset="0"/>
              <a:cs typeface="Times New Roman" panose="02020603050405020304" pitchFamily="18" charset="0"/>
            </a:rPr>
            <a:t>TOTAL NUMBER OF </a:t>
          </a:r>
          <a:r>
            <a:rPr lang="en-IN" sz="1400" b="1" baseline="0">
              <a:solidFill>
                <a:schemeClr val="tx1"/>
              </a:solidFill>
              <a:latin typeface="Times New Roman" panose="02020603050405020304" pitchFamily="18" charset="0"/>
              <a:cs typeface="Times New Roman" panose="02020603050405020304" pitchFamily="18" charset="0"/>
            </a:rPr>
            <a:t>    </a:t>
          </a:r>
          <a:r>
            <a:rPr lang="en-IN" sz="1400" b="1">
              <a:solidFill>
                <a:schemeClr val="tx1"/>
              </a:solidFill>
              <a:latin typeface="Times New Roman" panose="02020603050405020304" pitchFamily="18" charset="0"/>
              <a:cs typeface="Times New Roman" panose="02020603050405020304" pitchFamily="18" charset="0"/>
            </a:rPr>
            <a:t>PASSENGERS</a:t>
          </a:r>
          <a:r>
            <a:rPr lang="en-GB" sz="1400" b="0" i="0" u="none" strike="noStrike">
              <a:solidFill>
                <a:schemeClr val="lt1"/>
              </a:solidFill>
              <a:effectLst/>
              <a:latin typeface="+mn-lt"/>
              <a:ea typeface="+mn-ea"/>
              <a:cs typeface="+mn-cs"/>
            </a:rPr>
            <a:t>1,309</a:t>
          </a:r>
          <a:r>
            <a:rPr lang="en-GB" sz="1400">
              <a:effectLst/>
            </a:rPr>
            <a:t> </a:t>
          </a:r>
          <a:endParaRPr lang="en-IN" sz="1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401780</xdr:colOff>
      <xdr:row>9</xdr:row>
      <xdr:rowOff>148940</xdr:rowOff>
    </xdr:from>
    <xdr:to>
      <xdr:col>9</xdr:col>
      <xdr:colOff>523875</xdr:colOff>
      <xdr:row>23</xdr:row>
      <xdr:rowOff>131620</xdr:rowOff>
    </xdr:to>
    <xdr:sp macro="" textlink="">
      <xdr:nvSpPr>
        <xdr:cNvPr id="11" name="Rectangle: Rounded Corners 10">
          <a:extLst>
            <a:ext uri="{FF2B5EF4-FFF2-40B4-BE49-F238E27FC236}">
              <a16:creationId xmlns:a16="http://schemas.microsoft.com/office/drawing/2014/main" id="{A84CED41-5F6C-4E25-9B3A-ACCC507F1B2E}"/>
            </a:ext>
          </a:extLst>
        </xdr:cNvPr>
        <xdr:cNvSpPr/>
      </xdr:nvSpPr>
      <xdr:spPr>
        <a:xfrm>
          <a:off x="2230580" y="1863440"/>
          <a:ext cx="3779695" cy="2649680"/>
        </a:xfrm>
        <a:prstGeom prst="roundRect">
          <a:avLst>
            <a:gd name="adj" fmla="val 1169"/>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595745</xdr:colOff>
      <xdr:row>9</xdr:row>
      <xdr:rowOff>143747</xdr:rowOff>
    </xdr:from>
    <xdr:to>
      <xdr:col>16</xdr:col>
      <xdr:colOff>19050</xdr:colOff>
      <xdr:row>23</xdr:row>
      <xdr:rowOff>126427</xdr:rowOff>
    </xdr:to>
    <xdr:sp macro="" textlink="">
      <xdr:nvSpPr>
        <xdr:cNvPr id="12" name="Rectangle: Rounded Corners 11">
          <a:extLst>
            <a:ext uri="{FF2B5EF4-FFF2-40B4-BE49-F238E27FC236}">
              <a16:creationId xmlns:a16="http://schemas.microsoft.com/office/drawing/2014/main" id="{C96B2306-170D-4160-A565-4D123B1F0472}"/>
            </a:ext>
          </a:extLst>
        </xdr:cNvPr>
        <xdr:cNvSpPr/>
      </xdr:nvSpPr>
      <xdr:spPr>
        <a:xfrm>
          <a:off x="6082145" y="1858247"/>
          <a:ext cx="3690505" cy="2649680"/>
        </a:xfrm>
        <a:prstGeom prst="roundRect">
          <a:avLst>
            <a:gd name="adj" fmla="val 1888"/>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594878</xdr:colOff>
      <xdr:row>23</xdr:row>
      <xdr:rowOff>189487</xdr:rowOff>
    </xdr:from>
    <xdr:to>
      <xdr:col>15</xdr:col>
      <xdr:colOff>600075</xdr:colOff>
      <xdr:row>36</xdr:row>
      <xdr:rowOff>57150</xdr:rowOff>
    </xdr:to>
    <xdr:sp macro="" textlink="">
      <xdr:nvSpPr>
        <xdr:cNvPr id="13" name="Rectangle: Rounded Corners 12">
          <a:extLst>
            <a:ext uri="{FF2B5EF4-FFF2-40B4-BE49-F238E27FC236}">
              <a16:creationId xmlns:a16="http://schemas.microsoft.com/office/drawing/2014/main" id="{B0EC5B09-A63B-42D8-B549-1CB61B03C84F}"/>
            </a:ext>
          </a:extLst>
        </xdr:cNvPr>
        <xdr:cNvSpPr/>
      </xdr:nvSpPr>
      <xdr:spPr>
        <a:xfrm>
          <a:off x="6081278" y="4570987"/>
          <a:ext cx="3662797" cy="2439413"/>
        </a:xfrm>
        <a:prstGeom prst="roundRect">
          <a:avLst>
            <a:gd name="adj" fmla="val 1888"/>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76200</xdr:colOff>
      <xdr:row>23</xdr:row>
      <xdr:rowOff>154902</xdr:rowOff>
    </xdr:from>
    <xdr:to>
      <xdr:col>24</xdr:col>
      <xdr:colOff>381000</xdr:colOff>
      <xdr:row>36</xdr:row>
      <xdr:rowOff>85725</xdr:rowOff>
    </xdr:to>
    <xdr:sp macro="" textlink="">
      <xdr:nvSpPr>
        <xdr:cNvPr id="14" name="Rectangle: Rounded Corners 13">
          <a:extLst>
            <a:ext uri="{FF2B5EF4-FFF2-40B4-BE49-F238E27FC236}">
              <a16:creationId xmlns:a16="http://schemas.microsoft.com/office/drawing/2014/main" id="{76A2380A-FFED-47A8-95F9-5020776854A3}"/>
            </a:ext>
          </a:extLst>
        </xdr:cNvPr>
        <xdr:cNvSpPr/>
      </xdr:nvSpPr>
      <xdr:spPr>
        <a:xfrm>
          <a:off x="9829800" y="4536402"/>
          <a:ext cx="5181600" cy="2502573"/>
        </a:xfrm>
        <a:prstGeom prst="roundRect">
          <a:avLst>
            <a:gd name="adj" fmla="val 1888"/>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88169</xdr:colOff>
      <xdr:row>9</xdr:row>
      <xdr:rowOff>120318</xdr:rowOff>
    </xdr:from>
    <xdr:to>
      <xdr:col>24</xdr:col>
      <xdr:colOff>381000</xdr:colOff>
      <xdr:row>23</xdr:row>
      <xdr:rowOff>104776</xdr:rowOff>
    </xdr:to>
    <xdr:sp macro="" textlink="">
      <xdr:nvSpPr>
        <xdr:cNvPr id="15" name="Rectangle: Rounded Corners 14">
          <a:extLst>
            <a:ext uri="{FF2B5EF4-FFF2-40B4-BE49-F238E27FC236}">
              <a16:creationId xmlns:a16="http://schemas.microsoft.com/office/drawing/2014/main" id="{3F374177-3E10-402D-ADE8-96FA773A078E}"/>
            </a:ext>
          </a:extLst>
        </xdr:cNvPr>
        <xdr:cNvSpPr/>
      </xdr:nvSpPr>
      <xdr:spPr>
        <a:xfrm>
          <a:off x="9841769" y="1834818"/>
          <a:ext cx="5169631" cy="2651458"/>
        </a:xfrm>
        <a:prstGeom prst="roundRect">
          <a:avLst>
            <a:gd name="adj" fmla="val 1888"/>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386551</xdr:colOff>
      <xdr:row>24</xdr:row>
      <xdr:rowOff>5050</xdr:rowOff>
    </xdr:from>
    <xdr:to>
      <xdr:col>9</xdr:col>
      <xdr:colOff>523875</xdr:colOff>
      <xdr:row>36</xdr:row>
      <xdr:rowOff>66675</xdr:rowOff>
    </xdr:to>
    <xdr:sp macro="" textlink="">
      <xdr:nvSpPr>
        <xdr:cNvPr id="16" name="Rectangle: Rounded Corners 15">
          <a:extLst>
            <a:ext uri="{FF2B5EF4-FFF2-40B4-BE49-F238E27FC236}">
              <a16:creationId xmlns:a16="http://schemas.microsoft.com/office/drawing/2014/main" id="{6A47F968-5333-4C2F-BD3E-813090640C65}"/>
            </a:ext>
          </a:extLst>
        </xdr:cNvPr>
        <xdr:cNvSpPr/>
      </xdr:nvSpPr>
      <xdr:spPr>
        <a:xfrm>
          <a:off x="2215351" y="4577050"/>
          <a:ext cx="3794924" cy="2442875"/>
        </a:xfrm>
        <a:prstGeom prst="roundRect">
          <a:avLst>
            <a:gd name="adj" fmla="val 1888"/>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34634</xdr:colOff>
      <xdr:row>9</xdr:row>
      <xdr:rowOff>174915</xdr:rowOff>
    </xdr:from>
    <xdr:to>
      <xdr:col>6</xdr:col>
      <xdr:colOff>59390</xdr:colOff>
      <xdr:row>23</xdr:row>
      <xdr:rowOff>103094</xdr:rowOff>
    </xdr:to>
    <xdr:graphicFrame macro="">
      <xdr:nvGraphicFramePr>
        <xdr:cNvPr id="17" name="Chart 16">
          <a:extLst>
            <a:ext uri="{FF2B5EF4-FFF2-40B4-BE49-F238E27FC236}">
              <a16:creationId xmlns:a16="http://schemas.microsoft.com/office/drawing/2014/main" id="{3CAF2EBC-6ADF-4751-AB76-7047B27E3E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182704</xdr:colOff>
      <xdr:row>9</xdr:row>
      <xdr:rowOff>91790</xdr:rowOff>
    </xdr:from>
    <xdr:to>
      <xdr:col>15</xdr:col>
      <xdr:colOff>227734</xdr:colOff>
      <xdr:row>23</xdr:row>
      <xdr:rowOff>10391</xdr:rowOff>
    </xdr:to>
    <xdr:graphicFrame macro="">
      <xdr:nvGraphicFramePr>
        <xdr:cNvPr id="18" name="Chart 17">
          <a:extLst>
            <a:ext uri="{FF2B5EF4-FFF2-40B4-BE49-F238E27FC236}">
              <a16:creationId xmlns:a16="http://schemas.microsoft.com/office/drawing/2014/main" id="{8F595AE6-8E48-4897-8E11-2DC5674432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24</xdr:row>
      <xdr:rowOff>142875</xdr:rowOff>
    </xdr:from>
    <xdr:to>
      <xdr:col>3</xdr:col>
      <xdr:colOff>295275</xdr:colOff>
      <xdr:row>35</xdr:row>
      <xdr:rowOff>142875</xdr:rowOff>
    </xdr:to>
    <xdr:graphicFrame macro="">
      <xdr:nvGraphicFramePr>
        <xdr:cNvPr id="20" name="Chart 19">
          <a:extLst>
            <a:ext uri="{FF2B5EF4-FFF2-40B4-BE49-F238E27FC236}">
              <a16:creationId xmlns:a16="http://schemas.microsoft.com/office/drawing/2014/main" id="{6170665E-6ADF-4C29-B24B-3C0423EB0F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85725</xdr:colOff>
      <xdr:row>25</xdr:row>
      <xdr:rowOff>104774</xdr:rowOff>
    </xdr:from>
    <xdr:to>
      <xdr:col>18</xdr:col>
      <xdr:colOff>398317</xdr:colOff>
      <xdr:row>37</xdr:row>
      <xdr:rowOff>25977</xdr:rowOff>
    </xdr:to>
    <xdr:graphicFrame macro="">
      <xdr:nvGraphicFramePr>
        <xdr:cNvPr id="21" name="Chart 20">
          <a:extLst>
            <a:ext uri="{FF2B5EF4-FFF2-40B4-BE49-F238E27FC236}">
              <a16:creationId xmlns:a16="http://schemas.microsoft.com/office/drawing/2014/main" id="{1D8D3F68-2F66-4B55-9835-92DDEAFD73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83127</xdr:colOff>
      <xdr:row>23</xdr:row>
      <xdr:rowOff>77933</xdr:rowOff>
    </xdr:from>
    <xdr:to>
      <xdr:col>9</xdr:col>
      <xdr:colOff>562842</xdr:colOff>
      <xdr:row>37</xdr:row>
      <xdr:rowOff>25977</xdr:rowOff>
    </xdr:to>
    <xdr:graphicFrame macro="">
      <xdr:nvGraphicFramePr>
        <xdr:cNvPr id="22" name="Chart 21">
          <a:extLst>
            <a:ext uri="{FF2B5EF4-FFF2-40B4-BE49-F238E27FC236}">
              <a16:creationId xmlns:a16="http://schemas.microsoft.com/office/drawing/2014/main" id="{1FBCC086-083D-40E3-B488-9D5CBCE74B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571499</xdr:colOff>
      <xdr:row>23</xdr:row>
      <xdr:rowOff>112568</xdr:rowOff>
    </xdr:from>
    <xdr:to>
      <xdr:col>25</xdr:col>
      <xdr:colOff>225136</xdr:colOff>
      <xdr:row>37</xdr:row>
      <xdr:rowOff>34635</xdr:rowOff>
    </xdr:to>
    <xdr:graphicFrame macro="">
      <xdr:nvGraphicFramePr>
        <xdr:cNvPr id="23" name="Chart 22">
          <a:extLst>
            <a:ext uri="{FF2B5EF4-FFF2-40B4-BE49-F238E27FC236}">
              <a16:creationId xmlns:a16="http://schemas.microsoft.com/office/drawing/2014/main" id="{9EAA3F6E-75DD-4568-BDF6-134D6A60B6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38100</xdr:colOff>
      <xdr:row>0</xdr:row>
      <xdr:rowOff>0</xdr:rowOff>
    </xdr:from>
    <xdr:to>
      <xdr:col>1</xdr:col>
      <xdr:colOff>485775</xdr:colOff>
      <xdr:row>5</xdr:row>
      <xdr:rowOff>104775</xdr:rowOff>
    </xdr:to>
    <xdr:pic>
      <xdr:nvPicPr>
        <xdr:cNvPr id="35" name="Graphic 34" descr="Cruise ship with solid fill">
          <a:extLst>
            <a:ext uri="{FF2B5EF4-FFF2-40B4-BE49-F238E27FC236}">
              <a16:creationId xmlns:a16="http://schemas.microsoft.com/office/drawing/2014/main" id="{80262154-6FB2-7DE8-9B96-8289A71B880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8100" y="0"/>
          <a:ext cx="1057275" cy="1057275"/>
        </a:xfrm>
        <a:prstGeom prst="rect">
          <a:avLst/>
        </a:prstGeom>
      </xdr:spPr>
    </xdr:pic>
    <xdr:clientData/>
  </xdr:twoCellAnchor>
  <xdr:twoCellAnchor>
    <xdr:from>
      <xdr:col>0</xdr:col>
      <xdr:colOff>190500</xdr:colOff>
      <xdr:row>16</xdr:row>
      <xdr:rowOff>28575</xdr:rowOff>
    </xdr:from>
    <xdr:to>
      <xdr:col>3</xdr:col>
      <xdr:colOff>366712</xdr:colOff>
      <xdr:row>24</xdr:row>
      <xdr:rowOff>171450</xdr:rowOff>
    </xdr:to>
    <xdr:graphicFrame macro="">
      <xdr:nvGraphicFramePr>
        <xdr:cNvPr id="38" name="Chart 37">
          <a:extLst>
            <a:ext uri="{FF2B5EF4-FFF2-40B4-BE49-F238E27FC236}">
              <a16:creationId xmlns:a16="http://schemas.microsoft.com/office/drawing/2014/main" id="{D0E2C9D4-200B-4CEC-88D9-7BFCAB3B1D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0</xdr:col>
      <xdr:colOff>257175</xdr:colOff>
      <xdr:row>15</xdr:row>
      <xdr:rowOff>152400</xdr:rowOff>
    </xdr:from>
    <xdr:ext cx="1714500" cy="357790"/>
    <xdr:sp macro="" textlink="">
      <xdr:nvSpPr>
        <xdr:cNvPr id="40" name="TextBox 39">
          <a:extLst>
            <a:ext uri="{FF2B5EF4-FFF2-40B4-BE49-F238E27FC236}">
              <a16:creationId xmlns:a16="http://schemas.microsoft.com/office/drawing/2014/main" id="{AABF36D3-7C85-AD40-96A2-6737DEDFB218}"/>
            </a:ext>
          </a:extLst>
        </xdr:cNvPr>
        <xdr:cNvSpPr txBox="1"/>
      </xdr:nvSpPr>
      <xdr:spPr>
        <a:xfrm>
          <a:off x="257175" y="3009900"/>
          <a:ext cx="1714500"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200" b="1">
              <a:latin typeface="Times New Roman" panose="02020603050405020304" pitchFamily="18" charset="0"/>
              <a:cs typeface="Times New Roman" panose="02020603050405020304" pitchFamily="18" charset="0"/>
            </a:rPr>
            <a:t> </a:t>
          </a:r>
          <a:r>
            <a:rPr lang="en-GB" sz="1800" b="1">
              <a:latin typeface="Times New Roman" panose="02020603050405020304" pitchFamily="18" charset="0"/>
              <a:cs typeface="Times New Roman" panose="02020603050405020304" pitchFamily="18" charset="0"/>
            </a:rPr>
            <a:t>SURVIVED</a:t>
          </a:r>
        </a:p>
      </xdr:txBody>
    </xdr:sp>
    <xdr:clientData/>
  </xdr:oneCellAnchor>
  <xdr:oneCellAnchor>
    <xdr:from>
      <xdr:col>1</xdr:col>
      <xdr:colOff>542925</xdr:colOff>
      <xdr:row>16</xdr:row>
      <xdr:rowOff>180975</xdr:rowOff>
    </xdr:from>
    <xdr:ext cx="771525" cy="264560"/>
    <xdr:sp macro="" textlink="">
      <xdr:nvSpPr>
        <xdr:cNvPr id="41" name="TextBox 40">
          <a:extLst>
            <a:ext uri="{FF2B5EF4-FFF2-40B4-BE49-F238E27FC236}">
              <a16:creationId xmlns:a16="http://schemas.microsoft.com/office/drawing/2014/main" id="{447ECD0F-BF98-9348-503D-963261C98D0F}"/>
            </a:ext>
          </a:extLst>
        </xdr:cNvPr>
        <xdr:cNvSpPr txBox="1"/>
      </xdr:nvSpPr>
      <xdr:spPr>
        <a:xfrm>
          <a:off x="1152525" y="3228975"/>
          <a:ext cx="7715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GB" sz="1100"/>
        </a:p>
      </xdr:txBody>
    </xdr:sp>
    <xdr:clientData/>
  </xdr:oneCellAnchor>
  <xdr:oneCellAnchor>
    <xdr:from>
      <xdr:col>1</xdr:col>
      <xdr:colOff>238125</xdr:colOff>
      <xdr:row>20</xdr:row>
      <xdr:rowOff>38100</xdr:rowOff>
    </xdr:from>
    <xdr:ext cx="714375" cy="357790"/>
    <xdr:sp macro="" textlink="">
      <xdr:nvSpPr>
        <xdr:cNvPr id="43" name="TextBox 42">
          <a:extLst>
            <a:ext uri="{FF2B5EF4-FFF2-40B4-BE49-F238E27FC236}">
              <a16:creationId xmlns:a16="http://schemas.microsoft.com/office/drawing/2014/main" id="{86BCBF25-1526-7AE5-D467-87DBC461E55B}"/>
            </a:ext>
          </a:extLst>
        </xdr:cNvPr>
        <xdr:cNvSpPr txBox="1"/>
      </xdr:nvSpPr>
      <xdr:spPr>
        <a:xfrm>
          <a:off x="847725" y="3848100"/>
          <a:ext cx="714375"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800" b="1" i="0" u="none" strike="noStrike">
              <a:solidFill>
                <a:schemeClr val="tx1"/>
              </a:solidFill>
              <a:effectLst/>
              <a:latin typeface="Times New Roman" panose="02020603050405020304" pitchFamily="18" charset="0"/>
              <a:ea typeface="+mn-ea"/>
              <a:cs typeface="Times New Roman" panose="02020603050405020304" pitchFamily="18" charset="0"/>
            </a:rPr>
            <a:t>38%</a:t>
          </a:r>
          <a:r>
            <a:rPr lang="en-GB" sz="1800" b="1">
              <a:effectLst/>
              <a:latin typeface="Times New Roman" panose="02020603050405020304" pitchFamily="18" charset="0"/>
              <a:cs typeface="Times New Roman" panose="02020603050405020304" pitchFamily="18" charset="0"/>
            </a:rPr>
            <a:t> </a:t>
          </a:r>
          <a:endParaRPr lang="en-GB" sz="1800" b="1">
            <a:latin typeface="Times New Roman" panose="02020603050405020304" pitchFamily="18" charset="0"/>
            <a:cs typeface="Times New Roman" panose="02020603050405020304" pitchFamily="18" charset="0"/>
          </a:endParaRPr>
        </a:p>
      </xdr:txBody>
    </xdr:sp>
    <xdr:clientData/>
  </xdr:oneCellAnchor>
  <xdr:oneCellAnchor>
    <xdr:from>
      <xdr:col>1</xdr:col>
      <xdr:colOff>171450</xdr:colOff>
      <xdr:row>29</xdr:row>
      <xdr:rowOff>152400</xdr:rowOff>
    </xdr:from>
    <xdr:ext cx="704850" cy="357790"/>
    <xdr:sp macro="" textlink="">
      <xdr:nvSpPr>
        <xdr:cNvPr id="44" name="TextBox 43">
          <a:extLst>
            <a:ext uri="{FF2B5EF4-FFF2-40B4-BE49-F238E27FC236}">
              <a16:creationId xmlns:a16="http://schemas.microsoft.com/office/drawing/2014/main" id="{B2CCF521-0547-7EB3-6785-E653723FED3C}"/>
            </a:ext>
          </a:extLst>
        </xdr:cNvPr>
        <xdr:cNvSpPr txBox="1"/>
      </xdr:nvSpPr>
      <xdr:spPr>
        <a:xfrm>
          <a:off x="781050" y="5772150"/>
          <a:ext cx="704850"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800" b="1" i="0" u="none" strike="noStrike">
              <a:solidFill>
                <a:schemeClr val="tx1"/>
              </a:solidFill>
              <a:effectLst/>
              <a:latin typeface="Times New Roman" panose="02020603050405020304" pitchFamily="18" charset="0"/>
              <a:ea typeface="+mn-ea"/>
              <a:cs typeface="Times New Roman" panose="02020603050405020304" pitchFamily="18" charset="0"/>
            </a:rPr>
            <a:t>62%</a:t>
          </a:r>
          <a:r>
            <a:rPr lang="en-GB" sz="1800" b="1">
              <a:effectLst/>
              <a:latin typeface="Times New Roman" panose="02020603050405020304" pitchFamily="18" charset="0"/>
              <a:cs typeface="Times New Roman" panose="02020603050405020304" pitchFamily="18" charset="0"/>
            </a:rPr>
            <a:t> </a:t>
          </a:r>
          <a:endParaRPr lang="en-GB" sz="1800" b="1">
            <a:latin typeface="Times New Roman" panose="02020603050405020304" pitchFamily="18" charset="0"/>
            <a:cs typeface="Times New Roman" panose="02020603050405020304" pitchFamily="18" charset="0"/>
          </a:endParaRPr>
        </a:p>
      </xdr:txBody>
    </xdr:sp>
    <xdr:clientData/>
  </xdr:oneCellAnchor>
  <xdr:twoCellAnchor>
    <xdr:from>
      <xdr:col>3</xdr:col>
      <xdr:colOff>409576</xdr:colOff>
      <xdr:row>9</xdr:row>
      <xdr:rowOff>171451</xdr:rowOff>
    </xdr:from>
    <xdr:to>
      <xdr:col>9</xdr:col>
      <xdr:colOff>485775</xdr:colOff>
      <xdr:row>23</xdr:row>
      <xdr:rowOff>76201</xdr:rowOff>
    </xdr:to>
    <xdr:graphicFrame macro="">
      <xdr:nvGraphicFramePr>
        <xdr:cNvPr id="45" name="Chart 44">
          <a:extLst>
            <a:ext uri="{FF2B5EF4-FFF2-40B4-BE49-F238E27FC236}">
              <a16:creationId xmlns:a16="http://schemas.microsoft.com/office/drawing/2014/main" id="{8DEA6B84-CB7C-4C4C-860F-4CA5D8B37F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5</xdr:col>
      <xdr:colOff>523875</xdr:colOff>
      <xdr:row>10</xdr:row>
      <xdr:rowOff>57150</xdr:rowOff>
    </xdr:from>
    <xdr:ext cx="1276350" cy="328295"/>
    <xdr:sp macro="" textlink="">
      <xdr:nvSpPr>
        <xdr:cNvPr id="46" name="TextBox 45">
          <a:extLst>
            <a:ext uri="{FF2B5EF4-FFF2-40B4-BE49-F238E27FC236}">
              <a16:creationId xmlns:a16="http://schemas.microsoft.com/office/drawing/2014/main" id="{B1256D08-3C31-0195-080A-D341B651CCEB}"/>
            </a:ext>
          </a:extLst>
        </xdr:cNvPr>
        <xdr:cNvSpPr txBox="1"/>
      </xdr:nvSpPr>
      <xdr:spPr>
        <a:xfrm>
          <a:off x="3571875" y="1962150"/>
          <a:ext cx="1276350"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600" b="1">
              <a:latin typeface="Times New Roman" panose="02020603050405020304" pitchFamily="18" charset="0"/>
              <a:cs typeface="Times New Roman" panose="02020603050405020304" pitchFamily="18" charset="0"/>
            </a:rPr>
            <a:t>BY CLASS</a:t>
          </a:r>
        </a:p>
      </xdr:txBody>
    </xdr:sp>
    <xdr:clientData/>
  </xdr:oneCellAnchor>
  <xdr:twoCellAnchor>
    <xdr:from>
      <xdr:col>10</xdr:col>
      <xdr:colOff>47625</xdr:colOff>
      <xdr:row>9</xdr:row>
      <xdr:rowOff>190499</xdr:rowOff>
    </xdr:from>
    <xdr:to>
      <xdr:col>15</xdr:col>
      <xdr:colOff>542924</xdr:colOff>
      <xdr:row>23</xdr:row>
      <xdr:rowOff>85725</xdr:rowOff>
    </xdr:to>
    <xdr:graphicFrame macro="">
      <xdr:nvGraphicFramePr>
        <xdr:cNvPr id="47" name="Chart 46">
          <a:extLst>
            <a:ext uri="{FF2B5EF4-FFF2-40B4-BE49-F238E27FC236}">
              <a16:creationId xmlns:a16="http://schemas.microsoft.com/office/drawing/2014/main" id="{DDFE5981-6D46-4808-87B5-65F4CBCC3B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11</xdr:col>
      <xdr:colOff>514350</xdr:colOff>
      <xdr:row>9</xdr:row>
      <xdr:rowOff>142875</xdr:rowOff>
    </xdr:from>
    <xdr:ext cx="1504950" cy="328295"/>
    <xdr:sp macro="" textlink="">
      <xdr:nvSpPr>
        <xdr:cNvPr id="48" name="TextBox 47">
          <a:extLst>
            <a:ext uri="{FF2B5EF4-FFF2-40B4-BE49-F238E27FC236}">
              <a16:creationId xmlns:a16="http://schemas.microsoft.com/office/drawing/2014/main" id="{D9B9C097-E84B-8DBC-5C1E-76538C21FACD}"/>
            </a:ext>
          </a:extLst>
        </xdr:cNvPr>
        <xdr:cNvSpPr txBox="1"/>
      </xdr:nvSpPr>
      <xdr:spPr>
        <a:xfrm>
          <a:off x="7219950" y="1857375"/>
          <a:ext cx="1504950"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600" b="1">
              <a:latin typeface="Times New Roman" panose="02020603050405020304" pitchFamily="18" charset="0"/>
              <a:cs typeface="Times New Roman" panose="02020603050405020304" pitchFamily="18" charset="0"/>
            </a:rPr>
            <a:t>BY GENDER</a:t>
          </a:r>
        </a:p>
      </xdr:txBody>
    </xdr:sp>
    <xdr:clientData/>
  </xdr:oneCellAnchor>
  <xdr:twoCellAnchor>
    <xdr:from>
      <xdr:col>16</xdr:col>
      <xdr:colOff>152400</xdr:colOff>
      <xdr:row>9</xdr:row>
      <xdr:rowOff>152400</xdr:rowOff>
    </xdr:from>
    <xdr:to>
      <xdr:col>24</xdr:col>
      <xdr:colOff>342900</xdr:colOff>
      <xdr:row>23</xdr:row>
      <xdr:rowOff>38099</xdr:rowOff>
    </xdr:to>
    <xdr:graphicFrame macro="">
      <xdr:nvGraphicFramePr>
        <xdr:cNvPr id="49" name="Chart 48">
          <a:extLst>
            <a:ext uri="{FF2B5EF4-FFF2-40B4-BE49-F238E27FC236}">
              <a16:creationId xmlns:a16="http://schemas.microsoft.com/office/drawing/2014/main" id="{C7CBE2BE-CC51-42FC-BE30-5ACAAFAD05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447675</xdr:colOff>
      <xdr:row>25</xdr:row>
      <xdr:rowOff>57150</xdr:rowOff>
    </xdr:from>
    <xdr:to>
      <xdr:col>9</xdr:col>
      <xdr:colOff>485774</xdr:colOff>
      <xdr:row>36</xdr:row>
      <xdr:rowOff>0</xdr:rowOff>
    </xdr:to>
    <xdr:graphicFrame macro="">
      <xdr:nvGraphicFramePr>
        <xdr:cNvPr id="50" name="Chart 49">
          <a:extLst>
            <a:ext uri="{FF2B5EF4-FFF2-40B4-BE49-F238E27FC236}">
              <a16:creationId xmlns:a16="http://schemas.microsoft.com/office/drawing/2014/main" id="{4F791873-DF43-4856-8333-6B3ABE4A3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4</xdr:col>
      <xdr:colOff>590550</xdr:colOff>
      <xdr:row>24</xdr:row>
      <xdr:rowOff>38100</xdr:rowOff>
    </xdr:from>
    <xdr:ext cx="2000250" cy="298800"/>
    <xdr:sp macro="" textlink="">
      <xdr:nvSpPr>
        <xdr:cNvPr id="53" name="TextBox 52">
          <a:extLst>
            <a:ext uri="{FF2B5EF4-FFF2-40B4-BE49-F238E27FC236}">
              <a16:creationId xmlns:a16="http://schemas.microsoft.com/office/drawing/2014/main" id="{BAE5C2B9-C15C-129A-C19E-14D72CBA1144}"/>
            </a:ext>
          </a:extLst>
        </xdr:cNvPr>
        <xdr:cNvSpPr txBox="1"/>
      </xdr:nvSpPr>
      <xdr:spPr>
        <a:xfrm>
          <a:off x="3028950" y="4610100"/>
          <a:ext cx="200025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400" b="1">
              <a:latin typeface="Times New Roman" panose="02020603050405020304" pitchFamily="18" charset="0"/>
              <a:cs typeface="Times New Roman" panose="02020603050405020304" pitchFamily="18" charset="0"/>
            </a:rPr>
            <a:t>SURVIVAL BY AGE</a:t>
          </a:r>
        </a:p>
      </xdr:txBody>
    </xdr:sp>
    <xdr:clientData/>
  </xdr:oneCellAnchor>
  <xdr:twoCellAnchor>
    <xdr:from>
      <xdr:col>10</xdr:col>
      <xdr:colOff>38099</xdr:colOff>
      <xdr:row>24</xdr:row>
      <xdr:rowOff>66674</xdr:rowOff>
    </xdr:from>
    <xdr:to>
      <xdr:col>15</xdr:col>
      <xdr:colOff>409574</xdr:colOff>
      <xdr:row>36</xdr:row>
      <xdr:rowOff>19051</xdr:rowOff>
    </xdr:to>
    <xdr:graphicFrame macro="">
      <xdr:nvGraphicFramePr>
        <xdr:cNvPr id="54" name="Chart 53">
          <a:extLst>
            <a:ext uri="{FF2B5EF4-FFF2-40B4-BE49-F238E27FC236}">
              <a16:creationId xmlns:a16="http://schemas.microsoft.com/office/drawing/2014/main" id="{2879D496-162A-49CB-A4C7-E4223B4F7E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oneCellAnchor>
    <xdr:from>
      <xdr:col>10</xdr:col>
      <xdr:colOff>581025</xdr:colOff>
      <xdr:row>23</xdr:row>
      <xdr:rowOff>161925</xdr:rowOff>
    </xdr:from>
    <xdr:ext cx="2647950" cy="298800"/>
    <xdr:sp macro="" textlink="">
      <xdr:nvSpPr>
        <xdr:cNvPr id="55" name="TextBox 54">
          <a:extLst>
            <a:ext uri="{FF2B5EF4-FFF2-40B4-BE49-F238E27FC236}">
              <a16:creationId xmlns:a16="http://schemas.microsoft.com/office/drawing/2014/main" id="{4072CA33-19F9-DA29-2508-08A5DF594DA9}"/>
            </a:ext>
          </a:extLst>
        </xdr:cNvPr>
        <xdr:cNvSpPr txBox="1"/>
      </xdr:nvSpPr>
      <xdr:spPr>
        <a:xfrm>
          <a:off x="6677025" y="4543425"/>
          <a:ext cx="264795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400" b="1">
              <a:latin typeface="Times New Roman" panose="02020603050405020304" pitchFamily="18" charset="0"/>
              <a:cs typeface="Times New Roman" panose="02020603050405020304" pitchFamily="18" charset="0"/>
            </a:rPr>
            <a:t>SURVIVAL BY GENDER</a:t>
          </a:r>
        </a:p>
      </xdr:txBody>
    </xdr:sp>
    <xdr:clientData/>
  </xdr:oneCellAnchor>
  <xdr:twoCellAnchor>
    <xdr:from>
      <xdr:col>16</xdr:col>
      <xdr:colOff>152399</xdr:colOff>
      <xdr:row>23</xdr:row>
      <xdr:rowOff>161925</xdr:rowOff>
    </xdr:from>
    <xdr:to>
      <xdr:col>24</xdr:col>
      <xdr:colOff>257174</xdr:colOff>
      <xdr:row>36</xdr:row>
      <xdr:rowOff>19051</xdr:rowOff>
    </xdr:to>
    <xdr:graphicFrame macro="">
      <xdr:nvGraphicFramePr>
        <xdr:cNvPr id="56" name="Chart 55">
          <a:extLst>
            <a:ext uri="{FF2B5EF4-FFF2-40B4-BE49-F238E27FC236}">
              <a16:creationId xmlns:a16="http://schemas.microsoft.com/office/drawing/2014/main" id="{39252739-896B-4935-ACF0-A529532AB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19050</xdr:colOff>
      <xdr:row>5</xdr:row>
      <xdr:rowOff>142875</xdr:rowOff>
    </xdr:from>
    <xdr:to>
      <xdr:col>24</xdr:col>
      <xdr:colOff>419100</xdr:colOff>
      <xdr:row>9</xdr:row>
      <xdr:rowOff>57150</xdr:rowOff>
    </xdr:to>
    <xdr:sp macro="" textlink="">
      <xdr:nvSpPr>
        <xdr:cNvPr id="57" name="Rectangle: Rounded Corners 56">
          <a:extLst>
            <a:ext uri="{FF2B5EF4-FFF2-40B4-BE49-F238E27FC236}">
              <a16:creationId xmlns:a16="http://schemas.microsoft.com/office/drawing/2014/main" id="{9823E173-3286-B4E9-CE04-76D1C799418E}"/>
            </a:ext>
          </a:extLst>
        </xdr:cNvPr>
        <xdr:cNvSpPr/>
      </xdr:nvSpPr>
      <xdr:spPr>
        <a:xfrm>
          <a:off x="19050" y="1095375"/>
          <a:ext cx="15030450" cy="676275"/>
        </a:xfrm>
        <a:prstGeom prst="roundRect">
          <a:avLst>
            <a:gd name="adj" fmla="val 10110"/>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GB" sz="1100"/>
        </a:p>
      </xdr:txBody>
    </xdr:sp>
    <xdr:clientData/>
  </xdr:twoCellAnchor>
  <xdr:twoCellAnchor editAs="oneCell">
    <xdr:from>
      <xdr:col>0</xdr:col>
      <xdr:colOff>66673</xdr:colOff>
      <xdr:row>5</xdr:row>
      <xdr:rowOff>171450</xdr:rowOff>
    </xdr:from>
    <xdr:to>
      <xdr:col>5</xdr:col>
      <xdr:colOff>28574</xdr:colOff>
      <xdr:row>9</xdr:row>
      <xdr:rowOff>66675</xdr:rowOff>
    </xdr:to>
    <mc:AlternateContent xmlns:mc="http://schemas.openxmlformats.org/markup-compatibility/2006">
      <mc:Choice xmlns:a14="http://schemas.microsoft.com/office/drawing/2010/main" Requires="a14">
        <xdr:graphicFrame macro="">
          <xdr:nvGraphicFramePr>
            <xdr:cNvPr id="58" name="Class">
              <a:extLst>
                <a:ext uri="{FF2B5EF4-FFF2-40B4-BE49-F238E27FC236}">
                  <a16:creationId xmlns:a16="http://schemas.microsoft.com/office/drawing/2014/main" id="{C797557E-59EE-995B-7CC9-55336A3272F2}"/>
                </a:ext>
              </a:extLst>
            </xdr:cNvPr>
            <xdr:cNvGraphicFramePr/>
          </xdr:nvGraphicFramePr>
          <xdr:xfrm>
            <a:off x="0" y="0"/>
            <a:ext cx="0" cy="0"/>
          </xdr:xfrm>
          <a:graphic>
            <a:graphicData uri="http://schemas.microsoft.com/office/drawing/2010/slicer">
              <sle:slicer xmlns:sle="http://schemas.microsoft.com/office/drawing/2010/slicer" name="Class"/>
            </a:graphicData>
          </a:graphic>
        </xdr:graphicFrame>
      </mc:Choice>
      <mc:Fallback>
        <xdr:sp macro="" textlink="">
          <xdr:nvSpPr>
            <xdr:cNvPr id="0" name=""/>
            <xdr:cNvSpPr>
              <a:spLocks noTextEdit="1"/>
            </xdr:cNvSpPr>
          </xdr:nvSpPr>
          <xdr:spPr>
            <a:xfrm>
              <a:off x="66673" y="1123950"/>
              <a:ext cx="3009901" cy="6572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38100</xdr:colOff>
      <xdr:row>5</xdr:row>
      <xdr:rowOff>180976</xdr:rowOff>
    </xdr:from>
    <xdr:to>
      <xdr:col>8</xdr:col>
      <xdr:colOff>114300</xdr:colOff>
      <xdr:row>9</xdr:row>
      <xdr:rowOff>57150</xdr:rowOff>
    </xdr:to>
    <mc:AlternateContent xmlns:mc="http://schemas.openxmlformats.org/markup-compatibility/2006">
      <mc:Choice xmlns:a14="http://schemas.microsoft.com/office/drawing/2010/main" Requires="a14">
        <xdr:graphicFrame macro="">
          <xdr:nvGraphicFramePr>
            <xdr:cNvPr id="59" name="sex">
              <a:extLst>
                <a:ext uri="{FF2B5EF4-FFF2-40B4-BE49-F238E27FC236}">
                  <a16:creationId xmlns:a16="http://schemas.microsoft.com/office/drawing/2014/main" id="{5A11C095-E85E-F13D-51F0-61BAF36C4646}"/>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dr:sp macro="" textlink="">
          <xdr:nvSpPr>
            <xdr:cNvPr id="0" name=""/>
            <xdr:cNvSpPr>
              <a:spLocks noTextEdit="1"/>
            </xdr:cNvSpPr>
          </xdr:nvSpPr>
          <xdr:spPr>
            <a:xfrm>
              <a:off x="3086100" y="1133476"/>
              <a:ext cx="1905000" cy="6381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180974</xdr:colOff>
      <xdr:row>5</xdr:row>
      <xdr:rowOff>142875</xdr:rowOff>
    </xdr:from>
    <xdr:to>
      <xdr:col>24</xdr:col>
      <xdr:colOff>419099</xdr:colOff>
      <xdr:row>9</xdr:row>
      <xdr:rowOff>76200</xdr:rowOff>
    </xdr:to>
    <mc:AlternateContent xmlns:mc="http://schemas.openxmlformats.org/markup-compatibility/2006">
      <mc:Choice xmlns:a14="http://schemas.microsoft.com/office/drawing/2010/main" Requires="a14">
        <xdr:graphicFrame macro="">
          <xdr:nvGraphicFramePr>
            <xdr:cNvPr id="60" name="new_ageCustom">
              <a:extLst>
                <a:ext uri="{FF2B5EF4-FFF2-40B4-BE49-F238E27FC236}">
                  <a16:creationId xmlns:a16="http://schemas.microsoft.com/office/drawing/2014/main" id="{1F996F80-6147-5EE1-DD54-D0CCB4D287C0}"/>
                </a:ext>
              </a:extLst>
            </xdr:cNvPr>
            <xdr:cNvGraphicFramePr/>
          </xdr:nvGraphicFramePr>
          <xdr:xfrm>
            <a:off x="0" y="0"/>
            <a:ext cx="0" cy="0"/>
          </xdr:xfrm>
          <a:graphic>
            <a:graphicData uri="http://schemas.microsoft.com/office/drawing/2010/slicer">
              <sle:slicer xmlns:sle="http://schemas.microsoft.com/office/drawing/2010/slicer" name="new_ageCustom"/>
            </a:graphicData>
          </a:graphic>
        </xdr:graphicFrame>
      </mc:Choice>
      <mc:Fallback>
        <xdr:sp macro="" textlink="">
          <xdr:nvSpPr>
            <xdr:cNvPr id="0" name=""/>
            <xdr:cNvSpPr>
              <a:spLocks noTextEdit="1"/>
            </xdr:cNvSpPr>
          </xdr:nvSpPr>
          <xdr:spPr>
            <a:xfrm>
              <a:off x="5057774" y="1095375"/>
              <a:ext cx="9991725" cy="6953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371474</xdr:colOff>
      <xdr:row>11</xdr:row>
      <xdr:rowOff>171450</xdr:rowOff>
    </xdr:from>
    <xdr:ext cx="1476375" cy="682174"/>
    <xdr:sp macro="" textlink="Sheet2!B8">
      <xdr:nvSpPr>
        <xdr:cNvPr id="61" name="TextBox 60">
          <a:extLst>
            <a:ext uri="{FF2B5EF4-FFF2-40B4-BE49-F238E27FC236}">
              <a16:creationId xmlns:a16="http://schemas.microsoft.com/office/drawing/2014/main" id="{DF45C51B-68EC-6F35-8D88-788339EAFC28}"/>
            </a:ext>
          </a:extLst>
        </xdr:cNvPr>
        <xdr:cNvSpPr txBox="1"/>
      </xdr:nvSpPr>
      <xdr:spPr>
        <a:xfrm>
          <a:off x="371474" y="2266950"/>
          <a:ext cx="1476375" cy="682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5A15ED4-8E7A-4F6B-8811-0BED0755942B}" type="TxLink">
            <a:rPr lang="en-US" sz="4000" b="1" i="0" u="none" strike="noStrike">
              <a:solidFill>
                <a:srgbClr val="000000"/>
              </a:solidFill>
              <a:latin typeface="Times New Roman" panose="02020603050405020304" pitchFamily="18" charset="0"/>
              <a:cs typeface="Times New Roman" panose="02020603050405020304" pitchFamily="18" charset="0"/>
            </a:rPr>
            <a:t>1,309</a:t>
          </a:fld>
          <a:endParaRPr lang="en-GB" sz="4000" b="1">
            <a:latin typeface="Times New Roman" panose="02020603050405020304" pitchFamily="18" charset="0"/>
            <a:cs typeface="Times New Roman" panose="02020603050405020304" pitchFamily="18" charset="0"/>
          </a:endParaRPr>
        </a:p>
      </xdr:txBody>
    </xdr:sp>
    <xdr:clientData/>
  </xdr:oneCellAnchor>
</xdr:wsDr>
</file>

<file path=xl/drawings/drawing6.xml><?xml version="1.0" encoding="utf-8"?>
<c:userShapes xmlns:c="http://schemas.openxmlformats.org/drawingml/2006/chart">
  <cdr:relSizeAnchor xmlns:cdr="http://schemas.openxmlformats.org/drawingml/2006/chartDrawing">
    <cdr:from>
      <cdr:x>0.26009</cdr:x>
      <cdr:y>0.09753</cdr:y>
    </cdr:from>
    <cdr:to>
      <cdr:x>0.79372</cdr:x>
      <cdr:y>0.22778</cdr:y>
    </cdr:to>
    <cdr:sp macro="" textlink="">
      <cdr:nvSpPr>
        <cdr:cNvPr id="3" name="TextBox 2">
          <a:extLst xmlns:a="http://schemas.openxmlformats.org/drawingml/2006/main">
            <a:ext uri="{FF2B5EF4-FFF2-40B4-BE49-F238E27FC236}">
              <a16:creationId xmlns:a16="http://schemas.microsoft.com/office/drawing/2014/main" id="{3DD5E5E3-36C7-3E4C-BE3D-35BB198C96C7}"/>
            </a:ext>
          </a:extLst>
        </cdr:cNvPr>
        <cdr:cNvSpPr txBox="1"/>
      </cdr:nvSpPr>
      <cdr:spPr>
        <a:xfrm xmlns:a="http://schemas.openxmlformats.org/drawingml/2006/main">
          <a:off x="552449" y="213668"/>
          <a:ext cx="1133475" cy="28534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GB" sz="1800" b="1" kern="1200">
              <a:latin typeface="Times New Roman" panose="02020603050405020304" pitchFamily="18" charset="0"/>
              <a:cs typeface="Times New Roman" panose="02020603050405020304" pitchFamily="18" charset="0"/>
            </a:rPr>
            <a:t>NOT SURVIVED</a:t>
          </a:r>
        </a:p>
      </cdr:txBody>
    </cdr:sp>
  </cdr:relSizeAnchor>
</c:userShapes>
</file>

<file path=xl/drawings/drawing7.xml><?xml version="1.0" encoding="utf-8"?>
<c:userShapes xmlns:c="http://schemas.openxmlformats.org/drawingml/2006/chart">
  <cdr:relSizeAnchor xmlns:cdr="http://schemas.openxmlformats.org/drawingml/2006/chartDrawing">
    <cdr:from>
      <cdr:x>0.45283</cdr:x>
      <cdr:y>0.5</cdr:y>
    </cdr:from>
    <cdr:to>
      <cdr:x>0.90566</cdr:x>
      <cdr:y>1</cdr:y>
    </cdr:to>
    <cdr:sp macro="" textlink="">
      <cdr:nvSpPr>
        <cdr:cNvPr id="3" name="TextBox 2">
          <a:extLst xmlns:a="http://schemas.openxmlformats.org/drawingml/2006/main">
            <a:ext uri="{FF2B5EF4-FFF2-40B4-BE49-F238E27FC236}">
              <a16:creationId xmlns:a16="http://schemas.microsoft.com/office/drawing/2014/main" id="{11607C6D-B31F-7730-EBC4-91E85E9106C5}"/>
            </a:ext>
          </a:extLst>
        </cdr:cNvPr>
        <cdr:cNvSpPr txBox="1"/>
      </cdr:nvSpPr>
      <cdr:spPr>
        <a:xfrm xmlns:a="http://schemas.openxmlformats.org/drawingml/2006/main">
          <a:off x="914400" y="10858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GB" sz="1100" kern="1200">
            <a:solidFill>
              <a:schemeClr val="tx1"/>
            </a:solidFill>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0.50376</cdr:x>
      <cdr:y>0.0155</cdr:y>
    </cdr:from>
    <cdr:to>
      <cdr:x>0.78947</cdr:x>
      <cdr:y>0.12016</cdr:y>
    </cdr:to>
    <cdr:sp macro="" textlink="">
      <cdr:nvSpPr>
        <cdr:cNvPr id="2" name="TextBox 1">
          <a:extLst xmlns:a="http://schemas.openxmlformats.org/drawingml/2006/main">
            <a:ext uri="{FF2B5EF4-FFF2-40B4-BE49-F238E27FC236}">
              <a16:creationId xmlns:a16="http://schemas.microsoft.com/office/drawing/2014/main" id="{B7C86DC7-D871-26A8-E851-D4D0892F226D}"/>
            </a:ext>
          </a:extLst>
        </cdr:cNvPr>
        <cdr:cNvSpPr txBox="1"/>
      </cdr:nvSpPr>
      <cdr:spPr>
        <a:xfrm xmlns:a="http://schemas.openxmlformats.org/drawingml/2006/main">
          <a:off x="2552700" y="38100"/>
          <a:ext cx="1447800" cy="2571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GB" sz="1400" b="1" kern="1200">
              <a:solidFill>
                <a:schemeClr val="tx1"/>
              </a:solidFill>
              <a:latin typeface="Times New Roman" panose="02020603050405020304" pitchFamily="18" charset="0"/>
              <a:cs typeface="Times New Roman" panose="02020603050405020304" pitchFamily="18" charset="0"/>
            </a:rPr>
            <a:t>PEOPLE BY AGE </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MG MIAN" refreshedDate="46081.94585960648" createdVersion="8" refreshedVersion="8" minRefreshableVersion="3" recordCount="1309" xr:uid="{06201ABB-0A2B-4CE7-AC56-FF49CE8FA810}">
  <cacheSource type="worksheet">
    <worksheetSource name="Titanic_Clean_DataSet"/>
  </cacheSource>
  <cacheFields count="5">
    <cacheField name="Index" numFmtId="0">
      <sharedItems count="1309">
        <s v="1"/>
        <s v="2"/>
        <s v="3"/>
        <s v="4"/>
        <s v="5"/>
        <s v="6"/>
        <s v="7"/>
        <s v="8"/>
        <s v="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60"/>
        <s v="61"/>
        <s v="62"/>
        <s v="63"/>
        <s v="64"/>
        <s v="65"/>
        <s v="66"/>
        <s v="67"/>
        <s v="68"/>
        <s v="69"/>
        <s v="70"/>
        <s v="71"/>
        <s v="72"/>
        <s v="73"/>
        <s v="74"/>
        <s v="75"/>
        <s v="76"/>
        <s v="77"/>
        <s v="78"/>
        <s v="79"/>
        <s v="80"/>
        <s v="81"/>
        <s v="82"/>
        <s v="83"/>
        <s v="84"/>
        <s v="85"/>
        <s v="86"/>
        <s v="87"/>
        <s v="88"/>
        <s v="89"/>
        <s v="90"/>
        <s v="91"/>
        <s v="92"/>
        <s v="93"/>
        <s v="94"/>
        <s v="95"/>
        <s v="96"/>
        <s v="97"/>
        <s v="98"/>
        <s v="99"/>
        <s v="100"/>
        <s v="101"/>
        <s v="102"/>
        <s v="103"/>
        <s v="104"/>
        <s v="105"/>
        <s v="106"/>
        <s v="107"/>
        <s v="108"/>
        <s v="109"/>
        <s v="110"/>
        <s v="111"/>
        <s v="112"/>
        <s v="113"/>
        <s v="114"/>
        <s v="115"/>
        <s v="116"/>
        <s v="117"/>
        <s v="118"/>
        <s v="119"/>
        <s v="120"/>
        <s v="121"/>
        <s v="122"/>
        <s v="123"/>
        <s v="124"/>
        <s v="125"/>
        <s v="126"/>
        <s v="127"/>
        <s v="128"/>
        <s v="129"/>
        <s v="130"/>
        <s v="131"/>
        <s v="132"/>
        <s v="133"/>
        <s v="134"/>
        <s v="135"/>
        <s v="136"/>
        <s v="137"/>
        <s v="138"/>
        <s v="139"/>
        <s v="140"/>
        <s v="141"/>
        <s v="142"/>
        <s v="143"/>
        <s v="144"/>
        <s v="145"/>
        <s v="146"/>
        <s v="147"/>
        <s v="148"/>
        <s v="149"/>
        <s v="150"/>
        <s v="151"/>
        <s v="152"/>
        <s v="153"/>
        <s v="154"/>
        <s v="155"/>
        <s v="156"/>
        <s v="157"/>
        <s v="158"/>
        <s v="159"/>
        <s v="160"/>
        <s v="161"/>
        <s v="162"/>
        <s v="163"/>
        <s v="164"/>
        <s v="165"/>
        <s v="166"/>
        <s v="167"/>
        <s v="168"/>
        <s v="169"/>
        <s v="170"/>
        <s v="171"/>
        <s v="172"/>
        <s v="173"/>
        <s v="174"/>
        <s v="175"/>
        <s v="176"/>
        <s v="177"/>
        <s v="178"/>
        <s v="179"/>
        <s v="180"/>
        <s v="181"/>
        <s v="182"/>
        <s v="183"/>
        <s v="184"/>
        <s v="185"/>
        <s v="186"/>
        <s v="187"/>
        <s v="188"/>
        <s v="189"/>
        <s v="190"/>
        <s v="191"/>
        <s v="192"/>
        <s v="193"/>
        <s v="194"/>
        <s v="195"/>
        <s v="196"/>
        <s v="197"/>
        <s v="198"/>
        <s v="199"/>
        <s v="200"/>
        <s v="201"/>
        <s v="202"/>
        <s v="203"/>
        <s v="204"/>
        <s v="205"/>
        <s v="206"/>
        <s v="207"/>
        <s v="208"/>
        <s v="209"/>
        <s v="210"/>
        <s v="211"/>
        <s v="212"/>
        <s v="213"/>
        <s v="214"/>
        <s v="215"/>
        <s v="216"/>
        <s v="217"/>
        <s v="218"/>
        <s v="219"/>
        <s v="220"/>
        <s v="221"/>
        <s v="222"/>
        <s v="223"/>
        <s v="224"/>
        <s v="225"/>
        <s v="226"/>
        <s v="227"/>
        <s v="228"/>
        <s v="229"/>
        <s v="230"/>
        <s v="231"/>
        <s v="232"/>
        <s v="233"/>
        <s v="234"/>
        <s v="235"/>
        <s v="236"/>
        <s v="237"/>
        <s v="238"/>
        <s v="239"/>
        <s v="240"/>
        <s v="241"/>
        <s v="242"/>
        <s v="243"/>
        <s v="244"/>
        <s v="245"/>
        <s v="246"/>
        <s v="247"/>
        <s v="248"/>
        <s v="249"/>
        <s v="250"/>
        <s v="251"/>
        <s v="252"/>
        <s v="253"/>
        <s v="254"/>
        <s v="255"/>
        <s v="256"/>
        <s v="257"/>
        <s v="258"/>
        <s v="259"/>
        <s v="260"/>
        <s v="261"/>
        <s v="262"/>
        <s v="263"/>
        <s v="264"/>
        <s v="265"/>
        <s v="266"/>
        <s v="267"/>
        <s v="268"/>
        <s v="269"/>
        <s v="270"/>
        <s v="271"/>
        <s v="272"/>
        <s v="273"/>
        <s v="274"/>
        <s v="275"/>
        <s v="276"/>
        <s v="277"/>
        <s v="278"/>
        <s v="279"/>
        <s v="280"/>
        <s v="281"/>
        <s v="282"/>
        <s v="283"/>
        <s v="284"/>
        <s v="285"/>
        <s v="286"/>
        <s v="287"/>
        <s v="288"/>
        <s v="289"/>
        <s v="290"/>
        <s v="291"/>
        <s v="292"/>
        <s v="293"/>
        <s v="294"/>
        <s v="295"/>
        <s v="296"/>
        <s v="297"/>
        <s v="298"/>
        <s v="299"/>
        <s v="300"/>
        <s v="301"/>
        <s v="302"/>
        <s v="303"/>
        <s v="304"/>
        <s v="305"/>
        <s v="306"/>
        <s v="307"/>
        <s v="308"/>
        <s v="309"/>
        <s v="310"/>
        <s v="311"/>
        <s v="312"/>
        <s v="313"/>
        <s v="314"/>
        <s v="315"/>
        <s v="316"/>
        <s v="317"/>
        <s v="318"/>
        <s v="319"/>
        <s v="320"/>
        <s v="321"/>
        <s v="322"/>
        <s v="323"/>
        <s v="324"/>
        <s v="325"/>
        <s v="326"/>
        <s v="327"/>
        <s v="328"/>
        <s v="329"/>
        <s v="330"/>
        <s v="331"/>
        <s v="332"/>
        <s v="333"/>
        <s v="334"/>
        <s v="335"/>
        <s v="336"/>
        <s v="337"/>
        <s v="338"/>
        <s v="339"/>
        <s v="340"/>
        <s v="341"/>
        <s v="342"/>
        <s v="343"/>
        <s v="344"/>
        <s v="345"/>
        <s v="346"/>
        <s v="347"/>
        <s v="348"/>
        <s v="349"/>
        <s v="350"/>
        <s v="351"/>
        <s v="352"/>
        <s v="353"/>
        <s v="354"/>
        <s v="355"/>
        <s v="356"/>
        <s v="357"/>
        <s v="358"/>
        <s v="359"/>
        <s v="360"/>
        <s v="361"/>
        <s v="362"/>
        <s v="363"/>
        <s v="364"/>
        <s v="365"/>
        <s v="366"/>
        <s v="367"/>
        <s v="368"/>
        <s v="369"/>
        <s v="370"/>
        <s v="371"/>
        <s v="372"/>
        <s v="373"/>
        <s v="374"/>
        <s v="375"/>
        <s v="376"/>
        <s v="377"/>
        <s v="378"/>
        <s v="379"/>
        <s v="380"/>
        <s v="381"/>
        <s v="382"/>
        <s v="383"/>
        <s v="384"/>
        <s v="385"/>
        <s v="386"/>
        <s v="387"/>
        <s v="388"/>
        <s v="389"/>
        <s v="390"/>
        <s v="391"/>
        <s v="392"/>
        <s v="393"/>
        <s v="394"/>
        <s v="395"/>
        <s v="396"/>
        <s v="397"/>
        <s v="398"/>
        <s v="399"/>
        <s v="400"/>
        <s v="401"/>
        <s v="402"/>
        <s v="403"/>
        <s v="404"/>
        <s v="405"/>
        <s v="406"/>
        <s v="407"/>
        <s v="408"/>
        <s v="409"/>
        <s v="410"/>
        <s v="411"/>
        <s v="412"/>
        <s v="413"/>
        <s v="414"/>
        <s v="415"/>
        <s v="416"/>
        <s v="417"/>
        <s v="418"/>
        <s v="419"/>
        <s v="420"/>
        <s v="421"/>
        <s v="422"/>
        <s v="423"/>
        <s v="424"/>
        <s v="425"/>
        <s v="426"/>
        <s v="427"/>
        <s v="428"/>
        <s v="429"/>
        <s v="430"/>
        <s v="431"/>
        <s v="432"/>
        <s v="433"/>
        <s v="434"/>
        <s v="435"/>
        <s v="436"/>
        <s v="437"/>
        <s v="438"/>
        <s v="439"/>
        <s v="440"/>
        <s v="441"/>
        <s v="442"/>
        <s v="443"/>
        <s v="444"/>
        <s v="445"/>
        <s v="446"/>
        <s v="447"/>
        <s v="448"/>
        <s v="449"/>
        <s v="450"/>
        <s v="451"/>
        <s v="452"/>
        <s v="453"/>
        <s v="454"/>
        <s v="455"/>
        <s v="456"/>
        <s v="457"/>
        <s v="458"/>
        <s v="459"/>
        <s v="460"/>
        <s v="461"/>
        <s v="462"/>
        <s v="463"/>
        <s v="464"/>
        <s v="465"/>
        <s v="466"/>
        <s v="467"/>
        <s v="468"/>
        <s v="469"/>
        <s v="470"/>
        <s v="471"/>
        <s v="472"/>
        <s v="473"/>
        <s v="474"/>
        <s v="475"/>
        <s v="476"/>
        <s v="477"/>
        <s v="478"/>
        <s v="479"/>
        <s v="480"/>
        <s v="481"/>
        <s v="482"/>
        <s v="483"/>
        <s v="484"/>
        <s v="485"/>
        <s v="486"/>
        <s v="487"/>
        <s v="488"/>
        <s v="489"/>
        <s v="490"/>
        <s v="491"/>
        <s v="492"/>
        <s v="493"/>
        <s v="494"/>
        <s v="495"/>
        <s v="496"/>
        <s v="497"/>
        <s v="498"/>
        <s v="499"/>
        <s v="500"/>
        <s v="501"/>
        <s v="502"/>
        <s v="503"/>
        <s v="504"/>
        <s v="505"/>
        <s v="506"/>
        <s v="507"/>
        <s v="508"/>
        <s v="509"/>
        <s v="510"/>
        <s v="511"/>
        <s v="512"/>
        <s v="513"/>
        <s v="514"/>
        <s v="515"/>
        <s v="516"/>
        <s v="517"/>
        <s v="518"/>
        <s v="519"/>
        <s v="520"/>
        <s v="521"/>
        <s v="522"/>
        <s v="523"/>
        <s v="524"/>
        <s v="525"/>
        <s v="526"/>
        <s v="527"/>
        <s v="528"/>
        <s v="529"/>
        <s v="530"/>
        <s v="531"/>
        <s v="532"/>
        <s v="533"/>
        <s v="534"/>
        <s v="535"/>
        <s v="536"/>
        <s v="537"/>
        <s v="538"/>
        <s v="539"/>
        <s v="540"/>
        <s v="541"/>
        <s v="542"/>
        <s v="543"/>
        <s v="544"/>
        <s v="545"/>
        <s v="546"/>
        <s v="547"/>
        <s v="548"/>
        <s v="549"/>
        <s v="550"/>
        <s v="551"/>
        <s v="552"/>
        <s v="553"/>
        <s v="554"/>
        <s v="555"/>
        <s v="556"/>
        <s v="557"/>
        <s v="558"/>
        <s v="559"/>
        <s v="560"/>
        <s v="561"/>
        <s v="562"/>
        <s v="563"/>
        <s v="564"/>
        <s v="565"/>
        <s v="566"/>
        <s v="567"/>
        <s v="568"/>
        <s v="569"/>
        <s v="570"/>
        <s v="571"/>
        <s v="572"/>
        <s v="573"/>
        <s v="574"/>
        <s v="575"/>
        <s v="576"/>
        <s v="577"/>
        <s v="578"/>
        <s v="579"/>
        <s v="580"/>
        <s v="581"/>
        <s v="582"/>
        <s v="583"/>
        <s v="584"/>
        <s v="585"/>
        <s v="586"/>
        <s v="587"/>
        <s v="588"/>
        <s v="589"/>
        <s v="590"/>
        <s v="591"/>
        <s v="592"/>
        <s v="593"/>
        <s v="594"/>
        <s v="595"/>
        <s v="596"/>
        <s v="597"/>
        <s v="598"/>
        <s v="599"/>
        <s v="600"/>
        <s v="601"/>
        <s v="602"/>
        <s v="603"/>
        <s v="604"/>
        <s v="605"/>
        <s v="606"/>
        <s v="607"/>
        <s v="608"/>
        <s v="609"/>
        <s v="610"/>
        <s v="611"/>
        <s v="612"/>
        <s v="613"/>
        <s v="614"/>
        <s v="615"/>
        <s v="616"/>
        <s v="617"/>
        <s v="618"/>
        <s v="619"/>
        <s v="620"/>
        <s v="621"/>
        <s v="622"/>
        <s v="623"/>
        <s v="624"/>
        <s v="625"/>
        <s v="626"/>
        <s v="627"/>
        <s v="628"/>
        <s v="629"/>
        <s v="630"/>
        <s v="631"/>
        <s v="632"/>
        <s v="633"/>
        <s v="634"/>
        <s v="635"/>
        <s v="636"/>
        <s v="637"/>
        <s v="638"/>
        <s v="639"/>
        <s v="640"/>
        <s v="641"/>
        <s v="642"/>
        <s v="643"/>
        <s v="644"/>
        <s v="645"/>
        <s v="646"/>
        <s v="647"/>
        <s v="648"/>
        <s v="649"/>
        <s v="650"/>
        <s v="651"/>
        <s v="652"/>
        <s v="653"/>
        <s v="654"/>
        <s v="655"/>
        <s v="656"/>
        <s v="657"/>
        <s v="658"/>
        <s v="659"/>
        <s v="660"/>
        <s v="661"/>
        <s v="662"/>
        <s v="663"/>
        <s v="664"/>
        <s v="665"/>
        <s v="666"/>
        <s v="667"/>
        <s v="668"/>
        <s v="669"/>
        <s v="670"/>
        <s v="671"/>
        <s v="672"/>
        <s v="673"/>
        <s v="674"/>
        <s v="675"/>
        <s v="676"/>
        <s v="677"/>
        <s v="678"/>
        <s v="679"/>
        <s v="680"/>
        <s v="681"/>
        <s v="682"/>
        <s v="683"/>
        <s v="684"/>
        <s v="685"/>
        <s v="686"/>
        <s v="687"/>
        <s v="688"/>
        <s v="689"/>
        <s v="690"/>
        <s v="691"/>
        <s v="692"/>
        <s v="693"/>
        <s v="694"/>
        <s v="695"/>
        <s v="696"/>
        <s v="697"/>
        <s v="698"/>
        <s v="699"/>
        <s v="700"/>
        <s v="701"/>
        <s v="702"/>
        <s v="703"/>
        <s v="704"/>
        <s v="705"/>
        <s v="706"/>
        <s v="707"/>
        <s v="708"/>
        <s v="709"/>
        <s v="710"/>
        <s v="711"/>
        <s v="712"/>
        <s v="713"/>
        <s v="714"/>
        <s v="715"/>
        <s v="716"/>
        <s v="717"/>
        <s v="718"/>
        <s v="719"/>
        <s v="720"/>
        <s v="721"/>
        <s v="722"/>
        <s v="723"/>
        <s v="724"/>
        <s v="725"/>
        <s v="726"/>
        <s v="727"/>
        <s v="728"/>
        <s v="729"/>
        <s v="730"/>
        <s v="731"/>
        <s v="732"/>
        <s v="733"/>
        <s v="734"/>
        <s v="735"/>
        <s v="736"/>
        <s v="737"/>
        <s v="738"/>
        <s v="739"/>
        <s v="740"/>
        <s v="741"/>
        <s v="742"/>
        <s v="743"/>
        <s v="744"/>
        <s v="745"/>
        <s v="746"/>
        <s v="747"/>
        <s v="748"/>
        <s v="749"/>
        <s v="750"/>
        <s v="751"/>
        <s v="752"/>
        <s v="753"/>
        <s v="754"/>
        <s v="755"/>
        <s v="756"/>
        <s v="757"/>
        <s v="758"/>
        <s v="759"/>
        <s v="760"/>
        <s v="761"/>
        <s v="762"/>
        <s v="763"/>
        <s v="764"/>
        <s v="765"/>
        <s v="766"/>
        <s v="767"/>
        <s v="768"/>
        <s v="769"/>
        <s v="770"/>
        <s v="771"/>
        <s v="772"/>
        <s v="773"/>
        <s v="774"/>
        <s v="775"/>
        <s v="776"/>
        <s v="777"/>
        <s v="778"/>
        <s v="779"/>
        <s v="780"/>
        <s v="781"/>
        <s v="782"/>
        <s v="783"/>
        <s v="784"/>
        <s v="785"/>
        <s v="786"/>
        <s v="787"/>
        <s v="788"/>
        <s v="789"/>
        <s v="790"/>
        <s v="791"/>
        <s v="792"/>
        <s v="793"/>
        <s v="794"/>
        <s v="795"/>
        <s v="796"/>
        <s v="797"/>
        <s v="798"/>
        <s v="799"/>
        <s v="800"/>
        <s v="801"/>
        <s v="802"/>
        <s v="803"/>
        <s v="804"/>
        <s v="805"/>
        <s v="806"/>
        <s v="807"/>
        <s v="808"/>
        <s v="809"/>
        <s v="810"/>
        <s v="811"/>
        <s v="812"/>
        <s v="813"/>
        <s v="814"/>
        <s v="815"/>
        <s v="816"/>
        <s v="817"/>
        <s v="818"/>
        <s v="819"/>
        <s v="820"/>
        <s v="821"/>
        <s v="822"/>
        <s v="823"/>
        <s v="824"/>
        <s v="825"/>
        <s v="826"/>
        <s v="827"/>
        <s v="828"/>
        <s v="829"/>
        <s v="830"/>
        <s v="831"/>
        <s v="832"/>
        <s v="833"/>
        <s v="834"/>
        <s v="835"/>
        <s v="836"/>
        <s v="837"/>
        <s v="838"/>
        <s v="839"/>
        <s v="840"/>
        <s v="841"/>
        <s v="842"/>
        <s v="843"/>
        <s v="844"/>
        <s v="845"/>
        <s v="846"/>
        <s v="847"/>
        <s v="848"/>
        <s v="849"/>
        <s v="850"/>
        <s v="851"/>
        <s v="852"/>
        <s v="853"/>
        <s v="854"/>
        <s v="855"/>
        <s v="856"/>
        <s v="857"/>
        <s v="858"/>
        <s v="859"/>
        <s v="860"/>
        <s v="861"/>
        <s v="862"/>
        <s v="863"/>
        <s v="864"/>
        <s v="865"/>
        <s v="866"/>
        <s v="867"/>
        <s v="868"/>
        <s v="869"/>
        <s v="870"/>
        <s v="871"/>
        <s v="872"/>
        <s v="873"/>
        <s v="874"/>
        <s v="875"/>
        <s v="876"/>
        <s v="877"/>
        <s v="878"/>
        <s v="879"/>
        <s v="880"/>
        <s v="881"/>
        <s v="882"/>
        <s v="883"/>
        <s v="884"/>
        <s v="885"/>
        <s v="886"/>
        <s v="887"/>
        <s v="888"/>
        <s v="889"/>
        <s v="890"/>
        <s v="891"/>
        <s v="892"/>
        <s v="893"/>
        <s v="894"/>
        <s v="895"/>
        <s v="896"/>
        <s v="897"/>
        <s v="898"/>
        <s v="899"/>
        <s v="900"/>
        <s v="901"/>
        <s v="902"/>
        <s v="903"/>
        <s v="904"/>
        <s v="905"/>
        <s v="906"/>
        <s v="907"/>
        <s v="908"/>
        <s v="909"/>
        <s v="910"/>
        <s v="911"/>
        <s v="912"/>
        <s v="913"/>
        <s v="914"/>
        <s v="915"/>
        <s v="916"/>
        <s v="917"/>
        <s v="918"/>
        <s v="919"/>
        <s v="920"/>
        <s v="921"/>
        <s v="922"/>
        <s v="923"/>
        <s v="924"/>
        <s v="925"/>
        <s v="926"/>
        <s v="927"/>
        <s v="928"/>
        <s v="929"/>
        <s v="930"/>
        <s v="931"/>
        <s v="932"/>
        <s v="933"/>
        <s v="934"/>
        <s v="935"/>
        <s v="936"/>
        <s v="937"/>
        <s v="938"/>
        <s v="939"/>
        <s v="940"/>
        <s v="941"/>
        <s v="942"/>
        <s v="943"/>
        <s v="944"/>
        <s v="945"/>
        <s v="946"/>
        <s v="947"/>
        <s v="948"/>
        <s v="949"/>
        <s v="950"/>
        <s v="951"/>
        <s v="952"/>
        <s v="953"/>
        <s v="954"/>
        <s v="955"/>
        <s v="956"/>
        <s v="957"/>
        <s v="958"/>
        <s v="959"/>
        <s v="960"/>
        <s v="961"/>
        <s v="962"/>
        <s v="963"/>
        <s v="964"/>
        <s v="965"/>
        <s v="966"/>
        <s v="967"/>
        <s v="968"/>
        <s v="969"/>
        <s v="970"/>
        <s v="971"/>
        <s v="972"/>
        <s v="973"/>
        <s v="974"/>
        <s v="975"/>
        <s v="976"/>
        <s v="977"/>
        <s v="978"/>
        <s v="979"/>
        <s v="980"/>
        <s v="981"/>
        <s v="982"/>
        <s v="983"/>
        <s v="984"/>
        <s v="985"/>
        <s v="986"/>
        <s v="987"/>
        <s v="988"/>
        <s v="989"/>
        <s v="990"/>
        <s v="991"/>
        <s v="992"/>
        <s v="993"/>
        <s v="994"/>
        <s v="995"/>
        <s v="996"/>
        <s v="997"/>
        <s v="998"/>
        <s v="999"/>
        <s v="1000"/>
        <s v="1001"/>
        <s v="1002"/>
        <s v="1003"/>
        <s v="1004"/>
        <s v="1005"/>
        <s v="1006"/>
        <s v="1007"/>
        <s v="1008"/>
        <s v="1009"/>
        <s v="1010"/>
        <s v="1011"/>
        <s v="1012"/>
        <s v="1013"/>
        <s v="1014"/>
        <s v="1015"/>
        <s v="1016"/>
        <s v="1017"/>
        <s v="1018"/>
        <s v="1019"/>
        <s v="1020"/>
        <s v="1021"/>
        <s v="1022"/>
        <s v="1023"/>
        <s v="1024"/>
        <s v="1025"/>
        <s v="1026"/>
        <s v="1027"/>
        <s v="1028"/>
        <s v="1029"/>
        <s v="1030"/>
        <s v="1031"/>
        <s v="1032"/>
        <s v="1033"/>
        <s v="1034"/>
        <s v="1035"/>
        <s v="1036"/>
        <s v="1037"/>
        <s v="1038"/>
        <s v="1039"/>
        <s v="1040"/>
        <s v="1041"/>
        <s v="1042"/>
        <s v="1043"/>
        <s v="1044"/>
        <s v="1045"/>
        <s v="1046"/>
        <s v="1047"/>
        <s v="1048"/>
        <s v="1049"/>
        <s v="1050"/>
        <s v="1051"/>
        <s v="1052"/>
        <s v="1053"/>
        <s v="1054"/>
        <s v="1055"/>
        <s v="1056"/>
        <s v="1057"/>
        <s v="1058"/>
        <s v="1059"/>
        <s v="1060"/>
        <s v="1061"/>
        <s v="1062"/>
        <s v="1063"/>
        <s v="1064"/>
        <s v="1065"/>
        <s v="1066"/>
        <s v="1067"/>
        <s v="1068"/>
        <s v="1069"/>
        <s v="1070"/>
        <s v="1071"/>
        <s v="1072"/>
        <s v="1073"/>
        <s v="1074"/>
        <s v="1075"/>
        <s v="1076"/>
        <s v="1077"/>
        <s v="1078"/>
        <s v="1079"/>
        <s v="1080"/>
        <s v="1081"/>
        <s v="1082"/>
        <s v="1083"/>
        <s v="1084"/>
        <s v="1085"/>
        <s v="1086"/>
        <s v="1087"/>
        <s v="1088"/>
        <s v="1089"/>
        <s v="1090"/>
        <s v="1091"/>
        <s v="1092"/>
        <s v="1093"/>
        <s v="1094"/>
        <s v="1095"/>
        <s v="1096"/>
        <s v="1097"/>
        <s v="1098"/>
        <s v="1099"/>
        <s v="1100"/>
        <s v="1101"/>
        <s v="1102"/>
        <s v="1103"/>
        <s v="1104"/>
        <s v="1105"/>
        <s v="1106"/>
        <s v="1107"/>
        <s v="1108"/>
        <s v="1109"/>
        <s v="1110"/>
        <s v="1111"/>
        <s v="1112"/>
        <s v="1113"/>
        <s v="1114"/>
        <s v="1115"/>
        <s v="1116"/>
        <s v="1117"/>
        <s v="1118"/>
        <s v="1119"/>
        <s v="1120"/>
        <s v="1121"/>
        <s v="1122"/>
        <s v="1123"/>
        <s v="1124"/>
        <s v="1125"/>
        <s v="1126"/>
        <s v="1127"/>
        <s v="1128"/>
        <s v="1129"/>
        <s v="1130"/>
        <s v="1131"/>
        <s v="1132"/>
        <s v="1133"/>
        <s v="1134"/>
        <s v="1135"/>
        <s v="1136"/>
        <s v="1137"/>
        <s v="1138"/>
        <s v="1139"/>
        <s v="1140"/>
        <s v="1141"/>
        <s v="1142"/>
        <s v="1143"/>
        <s v="1144"/>
        <s v="1145"/>
        <s v="1146"/>
        <s v="1147"/>
        <s v="1148"/>
        <s v="1149"/>
        <s v="1150"/>
        <s v="1151"/>
        <s v="1152"/>
        <s v="1153"/>
        <s v="1154"/>
        <s v="1155"/>
        <s v="1156"/>
        <s v="1157"/>
        <s v="1158"/>
        <s v="1159"/>
        <s v="1160"/>
        <s v="1161"/>
        <s v="1162"/>
        <s v="1163"/>
        <s v="1164"/>
        <s v="1165"/>
        <s v="1166"/>
        <s v="1167"/>
        <s v="1168"/>
        <s v="1169"/>
        <s v="1170"/>
        <s v="1171"/>
        <s v="1172"/>
        <s v="1173"/>
        <s v="1174"/>
        <s v="1175"/>
        <s v="1176"/>
        <s v="1177"/>
        <s v="1178"/>
        <s v="1179"/>
        <s v="1180"/>
        <s v="1181"/>
        <s v="1182"/>
        <s v="1183"/>
        <s v="1184"/>
        <s v="1185"/>
        <s v="1186"/>
        <s v="1187"/>
        <s v="1188"/>
        <s v="1189"/>
        <s v="1190"/>
        <s v="1191"/>
        <s v="1192"/>
        <s v="1193"/>
        <s v="1194"/>
        <s v="1195"/>
        <s v="1196"/>
        <s v="1197"/>
        <s v="1198"/>
        <s v="1199"/>
        <s v="1200"/>
        <s v="1201"/>
        <s v="1202"/>
        <s v="1203"/>
        <s v="1204"/>
        <s v="1205"/>
        <s v="1206"/>
        <s v="1207"/>
        <s v="1208"/>
        <s v="1209"/>
        <s v="1210"/>
        <s v="1211"/>
        <s v="1212"/>
        <s v="1213"/>
        <s v="1214"/>
        <s v="1215"/>
        <s v="1216"/>
        <s v="1217"/>
        <s v="1218"/>
        <s v="1219"/>
        <s v="1220"/>
        <s v="1221"/>
        <s v="1222"/>
        <s v="1223"/>
        <s v="1224"/>
        <s v="1225"/>
        <s v="1226"/>
        <s v="1227"/>
        <s v="1228"/>
        <s v="1229"/>
        <s v="1230"/>
        <s v="1231"/>
        <s v="1232"/>
        <s v="1233"/>
        <s v="1234"/>
        <s v="1235"/>
        <s v="1236"/>
        <s v="1237"/>
        <s v="1238"/>
        <s v="1239"/>
        <s v="1240"/>
        <s v="1241"/>
        <s v="1242"/>
        <s v="1243"/>
        <s v="1244"/>
        <s v="1245"/>
        <s v="1246"/>
        <s v="1247"/>
        <s v="1248"/>
        <s v="1249"/>
        <s v="1250"/>
        <s v="1251"/>
        <s v="1252"/>
        <s v="1253"/>
        <s v="1254"/>
        <s v="1255"/>
        <s v="1256"/>
        <s v="1257"/>
        <s v="1258"/>
        <s v="1259"/>
        <s v="1260"/>
        <s v="1261"/>
        <s v="1262"/>
        <s v="1263"/>
        <s v="1264"/>
        <s v="1265"/>
        <s v="1266"/>
        <s v="1267"/>
        <s v="1268"/>
        <s v="1269"/>
        <s v="1270"/>
        <s v="1271"/>
        <s v="1272"/>
        <s v="1273"/>
        <s v="1274"/>
        <s v="1275"/>
        <s v="1276"/>
        <s v="1277"/>
        <s v="1278"/>
        <s v="1279"/>
        <s v="1280"/>
        <s v="1281"/>
        <s v="1282"/>
        <s v="1283"/>
        <s v="1284"/>
        <s v="1285"/>
        <s v="1286"/>
        <s v="1287"/>
        <s v="1288"/>
        <s v="1289"/>
        <s v="1290"/>
        <s v="1291"/>
        <s v="1292"/>
        <s v="1293"/>
        <s v="1294"/>
        <s v="1295"/>
        <s v="1296"/>
        <s v="1297"/>
        <s v="1298"/>
        <s v="1299"/>
        <s v="1300"/>
        <s v="1301"/>
        <s v="1302"/>
        <s v="1303"/>
        <s v="1304"/>
        <s v="1305"/>
        <s v="1306"/>
        <s v="1307"/>
        <s v="1308"/>
        <s v="1309"/>
      </sharedItems>
    </cacheField>
    <cacheField name="new pclass" numFmtId="0">
      <sharedItems count="3">
        <s v="First Class"/>
        <s v="Middle Class"/>
        <s v="Low Class"/>
      </sharedItems>
    </cacheField>
    <cacheField name="new_survived" numFmtId="0">
      <sharedItems count="2">
        <s v="Survived"/>
        <s v="Not Survived"/>
      </sharedItems>
    </cacheField>
    <cacheField name="sex" numFmtId="0">
      <sharedItems count="2">
        <s v="female"/>
        <s v="male"/>
      </sharedItems>
    </cacheField>
    <cacheField name="new_ageCustom" numFmtId="0">
      <sharedItems count="9">
        <s v="19-29 years"/>
        <s v="0-9 years"/>
        <s v="29-39 years"/>
        <s v="39-49 years"/>
        <s v="59-69 years"/>
        <s v="49-59 years"/>
        <s v="69-79 years"/>
        <s v="10-19 years"/>
        <s v="79-89 years"/>
      </sharedItems>
    </cacheField>
  </cacheFields>
  <extLst>
    <ext xmlns:x14="http://schemas.microsoft.com/office/spreadsheetml/2009/9/main" uri="{725AE2AE-9491-48be-B2B4-4EB974FC3084}">
      <x14:pivotCacheDefinition pivotCacheId="55863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9">
  <r>
    <x v="0"/>
    <x v="0"/>
    <x v="0"/>
    <x v="0"/>
    <x v="0"/>
  </r>
  <r>
    <x v="1"/>
    <x v="0"/>
    <x v="0"/>
    <x v="1"/>
    <x v="1"/>
  </r>
  <r>
    <x v="2"/>
    <x v="0"/>
    <x v="1"/>
    <x v="0"/>
    <x v="1"/>
  </r>
  <r>
    <x v="3"/>
    <x v="0"/>
    <x v="1"/>
    <x v="1"/>
    <x v="2"/>
  </r>
  <r>
    <x v="4"/>
    <x v="0"/>
    <x v="1"/>
    <x v="0"/>
    <x v="0"/>
  </r>
  <r>
    <x v="5"/>
    <x v="0"/>
    <x v="0"/>
    <x v="1"/>
    <x v="3"/>
  </r>
  <r>
    <x v="6"/>
    <x v="0"/>
    <x v="0"/>
    <x v="0"/>
    <x v="4"/>
  </r>
  <r>
    <x v="7"/>
    <x v="0"/>
    <x v="1"/>
    <x v="1"/>
    <x v="2"/>
  </r>
  <r>
    <x v="8"/>
    <x v="0"/>
    <x v="0"/>
    <x v="0"/>
    <x v="5"/>
  </r>
  <r>
    <x v="9"/>
    <x v="0"/>
    <x v="1"/>
    <x v="1"/>
    <x v="6"/>
  </r>
  <r>
    <x v="10"/>
    <x v="0"/>
    <x v="1"/>
    <x v="1"/>
    <x v="3"/>
  </r>
  <r>
    <x v="11"/>
    <x v="0"/>
    <x v="0"/>
    <x v="0"/>
    <x v="7"/>
  </r>
  <r>
    <x v="12"/>
    <x v="0"/>
    <x v="0"/>
    <x v="0"/>
    <x v="0"/>
  </r>
  <r>
    <x v="13"/>
    <x v="0"/>
    <x v="0"/>
    <x v="0"/>
    <x v="0"/>
  </r>
  <r>
    <x v="14"/>
    <x v="0"/>
    <x v="0"/>
    <x v="1"/>
    <x v="8"/>
  </r>
  <r>
    <x v="15"/>
    <x v="0"/>
    <x v="1"/>
    <x v="1"/>
    <x v="0"/>
  </r>
  <r>
    <x v="16"/>
    <x v="0"/>
    <x v="1"/>
    <x v="1"/>
    <x v="0"/>
  </r>
  <r>
    <x v="17"/>
    <x v="0"/>
    <x v="0"/>
    <x v="0"/>
    <x v="5"/>
  </r>
  <r>
    <x v="18"/>
    <x v="0"/>
    <x v="0"/>
    <x v="0"/>
    <x v="2"/>
  </r>
  <r>
    <x v="19"/>
    <x v="0"/>
    <x v="1"/>
    <x v="1"/>
    <x v="2"/>
  </r>
  <r>
    <x v="20"/>
    <x v="0"/>
    <x v="0"/>
    <x v="1"/>
    <x v="2"/>
  </r>
  <r>
    <x v="21"/>
    <x v="0"/>
    <x v="0"/>
    <x v="0"/>
    <x v="3"/>
  </r>
  <r>
    <x v="22"/>
    <x v="0"/>
    <x v="0"/>
    <x v="1"/>
    <x v="0"/>
  </r>
  <r>
    <x v="23"/>
    <x v="0"/>
    <x v="0"/>
    <x v="0"/>
    <x v="3"/>
  </r>
  <r>
    <x v="24"/>
    <x v="0"/>
    <x v="0"/>
    <x v="0"/>
    <x v="0"/>
  </r>
  <r>
    <x v="25"/>
    <x v="0"/>
    <x v="1"/>
    <x v="1"/>
    <x v="0"/>
  </r>
  <r>
    <x v="26"/>
    <x v="0"/>
    <x v="0"/>
    <x v="1"/>
    <x v="0"/>
  </r>
  <r>
    <x v="27"/>
    <x v="0"/>
    <x v="0"/>
    <x v="0"/>
    <x v="7"/>
  </r>
  <r>
    <x v="28"/>
    <x v="0"/>
    <x v="0"/>
    <x v="0"/>
    <x v="2"/>
  </r>
  <r>
    <x v="29"/>
    <x v="0"/>
    <x v="0"/>
    <x v="1"/>
    <x v="0"/>
  </r>
  <r>
    <x v="30"/>
    <x v="0"/>
    <x v="1"/>
    <x v="1"/>
    <x v="3"/>
  </r>
  <r>
    <x v="31"/>
    <x v="0"/>
    <x v="0"/>
    <x v="1"/>
    <x v="3"/>
  </r>
  <r>
    <x v="32"/>
    <x v="0"/>
    <x v="0"/>
    <x v="0"/>
    <x v="2"/>
  </r>
  <r>
    <x v="33"/>
    <x v="0"/>
    <x v="0"/>
    <x v="0"/>
    <x v="5"/>
  </r>
  <r>
    <x v="34"/>
    <x v="0"/>
    <x v="1"/>
    <x v="1"/>
    <x v="3"/>
  </r>
  <r>
    <x v="35"/>
    <x v="0"/>
    <x v="0"/>
    <x v="0"/>
    <x v="3"/>
  </r>
  <r>
    <x v="36"/>
    <x v="0"/>
    <x v="0"/>
    <x v="0"/>
    <x v="0"/>
  </r>
  <r>
    <x v="37"/>
    <x v="0"/>
    <x v="0"/>
    <x v="1"/>
    <x v="0"/>
  </r>
  <r>
    <x v="38"/>
    <x v="0"/>
    <x v="1"/>
    <x v="1"/>
    <x v="3"/>
  </r>
  <r>
    <x v="39"/>
    <x v="0"/>
    <x v="1"/>
    <x v="1"/>
    <x v="3"/>
  </r>
  <r>
    <x v="40"/>
    <x v="0"/>
    <x v="1"/>
    <x v="1"/>
    <x v="0"/>
  </r>
  <r>
    <x v="41"/>
    <x v="0"/>
    <x v="0"/>
    <x v="0"/>
    <x v="3"/>
  </r>
  <r>
    <x v="42"/>
    <x v="0"/>
    <x v="0"/>
    <x v="0"/>
    <x v="5"/>
  </r>
  <r>
    <x v="43"/>
    <x v="0"/>
    <x v="0"/>
    <x v="0"/>
    <x v="4"/>
  </r>
  <r>
    <x v="44"/>
    <x v="0"/>
    <x v="0"/>
    <x v="0"/>
    <x v="3"/>
  </r>
  <r>
    <x v="45"/>
    <x v="0"/>
    <x v="1"/>
    <x v="1"/>
    <x v="3"/>
  </r>
  <r>
    <x v="46"/>
    <x v="0"/>
    <x v="1"/>
    <x v="1"/>
    <x v="0"/>
  </r>
  <r>
    <x v="47"/>
    <x v="0"/>
    <x v="0"/>
    <x v="1"/>
    <x v="3"/>
  </r>
  <r>
    <x v="48"/>
    <x v="0"/>
    <x v="0"/>
    <x v="0"/>
    <x v="5"/>
  </r>
  <r>
    <x v="49"/>
    <x v="0"/>
    <x v="0"/>
    <x v="1"/>
    <x v="2"/>
  </r>
  <r>
    <x v="50"/>
    <x v="0"/>
    <x v="0"/>
    <x v="0"/>
    <x v="5"/>
  </r>
  <r>
    <x v="51"/>
    <x v="0"/>
    <x v="1"/>
    <x v="1"/>
    <x v="2"/>
  </r>
  <r>
    <x v="52"/>
    <x v="0"/>
    <x v="1"/>
    <x v="1"/>
    <x v="0"/>
  </r>
  <r>
    <x v="53"/>
    <x v="0"/>
    <x v="1"/>
    <x v="1"/>
    <x v="7"/>
  </r>
  <r>
    <x v="54"/>
    <x v="0"/>
    <x v="0"/>
    <x v="1"/>
    <x v="7"/>
  </r>
  <r>
    <x v="55"/>
    <x v="0"/>
    <x v="0"/>
    <x v="0"/>
    <x v="7"/>
  </r>
  <r>
    <x v="56"/>
    <x v="0"/>
    <x v="0"/>
    <x v="1"/>
    <x v="2"/>
  </r>
  <r>
    <x v="57"/>
    <x v="0"/>
    <x v="0"/>
    <x v="0"/>
    <x v="2"/>
  </r>
  <r>
    <x v="58"/>
    <x v="0"/>
    <x v="1"/>
    <x v="1"/>
    <x v="3"/>
  </r>
  <r>
    <x v="59"/>
    <x v="0"/>
    <x v="0"/>
    <x v="0"/>
    <x v="0"/>
  </r>
  <r>
    <x v="60"/>
    <x v="0"/>
    <x v="1"/>
    <x v="1"/>
    <x v="2"/>
  </r>
  <r>
    <x v="61"/>
    <x v="0"/>
    <x v="0"/>
    <x v="0"/>
    <x v="6"/>
  </r>
  <r>
    <x v="62"/>
    <x v="0"/>
    <x v="1"/>
    <x v="1"/>
    <x v="3"/>
  </r>
  <r>
    <x v="63"/>
    <x v="0"/>
    <x v="0"/>
    <x v="0"/>
    <x v="3"/>
  </r>
  <r>
    <x v="64"/>
    <x v="0"/>
    <x v="0"/>
    <x v="1"/>
    <x v="0"/>
  </r>
  <r>
    <x v="65"/>
    <x v="0"/>
    <x v="0"/>
    <x v="0"/>
    <x v="2"/>
  </r>
  <r>
    <x v="66"/>
    <x v="0"/>
    <x v="0"/>
    <x v="0"/>
    <x v="2"/>
  </r>
  <r>
    <x v="67"/>
    <x v="0"/>
    <x v="0"/>
    <x v="0"/>
    <x v="2"/>
  </r>
  <r>
    <x v="68"/>
    <x v="0"/>
    <x v="0"/>
    <x v="1"/>
    <x v="3"/>
  </r>
  <r>
    <x v="69"/>
    <x v="0"/>
    <x v="0"/>
    <x v="0"/>
    <x v="0"/>
  </r>
  <r>
    <x v="70"/>
    <x v="0"/>
    <x v="1"/>
    <x v="1"/>
    <x v="0"/>
  </r>
  <r>
    <x v="71"/>
    <x v="0"/>
    <x v="1"/>
    <x v="1"/>
    <x v="0"/>
  </r>
  <r>
    <x v="72"/>
    <x v="0"/>
    <x v="0"/>
    <x v="0"/>
    <x v="0"/>
  </r>
  <r>
    <x v="73"/>
    <x v="0"/>
    <x v="0"/>
    <x v="0"/>
    <x v="0"/>
  </r>
  <r>
    <x v="74"/>
    <x v="0"/>
    <x v="1"/>
    <x v="1"/>
    <x v="0"/>
  </r>
  <r>
    <x v="75"/>
    <x v="0"/>
    <x v="1"/>
    <x v="1"/>
    <x v="3"/>
  </r>
  <r>
    <x v="76"/>
    <x v="0"/>
    <x v="0"/>
    <x v="0"/>
    <x v="2"/>
  </r>
  <r>
    <x v="77"/>
    <x v="0"/>
    <x v="1"/>
    <x v="1"/>
    <x v="2"/>
  </r>
  <r>
    <x v="78"/>
    <x v="0"/>
    <x v="0"/>
    <x v="0"/>
    <x v="4"/>
  </r>
  <r>
    <x v="79"/>
    <x v="0"/>
    <x v="0"/>
    <x v="0"/>
    <x v="5"/>
  </r>
  <r>
    <x v="80"/>
    <x v="0"/>
    <x v="1"/>
    <x v="1"/>
    <x v="0"/>
  </r>
  <r>
    <x v="81"/>
    <x v="0"/>
    <x v="1"/>
    <x v="1"/>
    <x v="6"/>
  </r>
  <r>
    <x v="82"/>
    <x v="0"/>
    <x v="0"/>
    <x v="0"/>
    <x v="2"/>
  </r>
  <r>
    <x v="83"/>
    <x v="0"/>
    <x v="0"/>
    <x v="0"/>
    <x v="4"/>
  </r>
  <r>
    <x v="84"/>
    <x v="0"/>
    <x v="1"/>
    <x v="1"/>
    <x v="2"/>
  </r>
  <r>
    <x v="85"/>
    <x v="0"/>
    <x v="0"/>
    <x v="0"/>
    <x v="2"/>
  </r>
  <r>
    <x v="86"/>
    <x v="0"/>
    <x v="0"/>
    <x v="1"/>
    <x v="5"/>
  </r>
  <r>
    <x v="87"/>
    <x v="0"/>
    <x v="0"/>
    <x v="1"/>
    <x v="0"/>
  </r>
  <r>
    <x v="88"/>
    <x v="0"/>
    <x v="0"/>
    <x v="0"/>
    <x v="2"/>
  </r>
  <r>
    <x v="89"/>
    <x v="0"/>
    <x v="1"/>
    <x v="1"/>
    <x v="2"/>
  </r>
  <r>
    <x v="90"/>
    <x v="0"/>
    <x v="0"/>
    <x v="0"/>
    <x v="0"/>
  </r>
  <r>
    <x v="91"/>
    <x v="0"/>
    <x v="0"/>
    <x v="1"/>
    <x v="2"/>
  </r>
  <r>
    <x v="92"/>
    <x v="0"/>
    <x v="0"/>
    <x v="0"/>
    <x v="7"/>
  </r>
  <r>
    <x v="93"/>
    <x v="0"/>
    <x v="0"/>
    <x v="1"/>
    <x v="5"/>
  </r>
  <r>
    <x v="94"/>
    <x v="0"/>
    <x v="0"/>
    <x v="1"/>
    <x v="1"/>
  </r>
  <r>
    <x v="95"/>
    <x v="0"/>
    <x v="0"/>
    <x v="0"/>
    <x v="5"/>
  </r>
  <r>
    <x v="96"/>
    <x v="0"/>
    <x v="1"/>
    <x v="1"/>
    <x v="5"/>
  </r>
  <r>
    <x v="97"/>
    <x v="0"/>
    <x v="0"/>
    <x v="0"/>
    <x v="0"/>
  </r>
  <r>
    <x v="98"/>
    <x v="0"/>
    <x v="0"/>
    <x v="0"/>
    <x v="3"/>
  </r>
  <r>
    <x v="99"/>
    <x v="0"/>
    <x v="0"/>
    <x v="0"/>
    <x v="3"/>
  </r>
  <r>
    <x v="100"/>
    <x v="0"/>
    <x v="0"/>
    <x v="1"/>
    <x v="3"/>
  </r>
  <r>
    <x v="101"/>
    <x v="0"/>
    <x v="1"/>
    <x v="1"/>
    <x v="2"/>
  </r>
  <r>
    <x v="102"/>
    <x v="0"/>
    <x v="0"/>
    <x v="0"/>
    <x v="0"/>
  </r>
  <r>
    <x v="103"/>
    <x v="0"/>
    <x v="0"/>
    <x v="0"/>
    <x v="2"/>
  </r>
  <r>
    <x v="104"/>
    <x v="0"/>
    <x v="0"/>
    <x v="0"/>
    <x v="5"/>
  </r>
  <r>
    <x v="105"/>
    <x v="0"/>
    <x v="1"/>
    <x v="0"/>
    <x v="2"/>
  </r>
  <r>
    <x v="106"/>
    <x v="0"/>
    <x v="1"/>
    <x v="1"/>
    <x v="0"/>
  </r>
  <r>
    <x v="107"/>
    <x v="0"/>
    <x v="0"/>
    <x v="0"/>
    <x v="0"/>
  </r>
  <r>
    <x v="108"/>
    <x v="0"/>
    <x v="0"/>
    <x v="0"/>
    <x v="0"/>
  </r>
  <r>
    <x v="109"/>
    <x v="0"/>
    <x v="0"/>
    <x v="1"/>
    <x v="2"/>
  </r>
  <r>
    <x v="110"/>
    <x v="0"/>
    <x v="1"/>
    <x v="1"/>
    <x v="2"/>
  </r>
  <r>
    <x v="111"/>
    <x v="0"/>
    <x v="0"/>
    <x v="0"/>
    <x v="0"/>
  </r>
  <r>
    <x v="112"/>
    <x v="0"/>
    <x v="0"/>
    <x v="0"/>
    <x v="0"/>
  </r>
  <r>
    <x v="113"/>
    <x v="0"/>
    <x v="0"/>
    <x v="0"/>
    <x v="0"/>
  </r>
  <r>
    <x v="114"/>
    <x v="0"/>
    <x v="1"/>
    <x v="1"/>
    <x v="7"/>
  </r>
  <r>
    <x v="115"/>
    <x v="0"/>
    <x v="1"/>
    <x v="1"/>
    <x v="4"/>
  </r>
  <r>
    <x v="116"/>
    <x v="0"/>
    <x v="0"/>
    <x v="0"/>
    <x v="4"/>
  </r>
  <r>
    <x v="117"/>
    <x v="0"/>
    <x v="0"/>
    <x v="0"/>
    <x v="2"/>
  </r>
  <r>
    <x v="118"/>
    <x v="0"/>
    <x v="1"/>
    <x v="1"/>
    <x v="0"/>
  </r>
  <r>
    <x v="119"/>
    <x v="0"/>
    <x v="0"/>
    <x v="1"/>
    <x v="5"/>
  </r>
  <r>
    <x v="120"/>
    <x v="0"/>
    <x v="0"/>
    <x v="1"/>
    <x v="3"/>
  </r>
  <r>
    <x v="121"/>
    <x v="0"/>
    <x v="0"/>
    <x v="0"/>
    <x v="0"/>
  </r>
  <r>
    <x v="122"/>
    <x v="0"/>
    <x v="0"/>
    <x v="0"/>
    <x v="0"/>
  </r>
  <r>
    <x v="123"/>
    <x v="0"/>
    <x v="0"/>
    <x v="1"/>
    <x v="4"/>
  </r>
  <r>
    <x v="124"/>
    <x v="0"/>
    <x v="0"/>
    <x v="0"/>
    <x v="3"/>
  </r>
  <r>
    <x v="125"/>
    <x v="0"/>
    <x v="1"/>
    <x v="1"/>
    <x v="0"/>
  </r>
  <r>
    <x v="126"/>
    <x v="0"/>
    <x v="1"/>
    <x v="1"/>
    <x v="2"/>
  </r>
  <r>
    <x v="127"/>
    <x v="0"/>
    <x v="0"/>
    <x v="0"/>
    <x v="2"/>
  </r>
  <r>
    <x v="128"/>
    <x v="0"/>
    <x v="1"/>
    <x v="1"/>
    <x v="3"/>
  </r>
  <r>
    <x v="129"/>
    <x v="0"/>
    <x v="0"/>
    <x v="0"/>
    <x v="2"/>
  </r>
  <r>
    <x v="130"/>
    <x v="0"/>
    <x v="0"/>
    <x v="0"/>
    <x v="0"/>
  </r>
  <r>
    <x v="131"/>
    <x v="0"/>
    <x v="0"/>
    <x v="0"/>
    <x v="3"/>
  </r>
  <r>
    <x v="132"/>
    <x v="0"/>
    <x v="1"/>
    <x v="1"/>
    <x v="0"/>
  </r>
  <r>
    <x v="133"/>
    <x v="0"/>
    <x v="0"/>
    <x v="1"/>
    <x v="3"/>
  </r>
  <r>
    <x v="134"/>
    <x v="0"/>
    <x v="0"/>
    <x v="0"/>
    <x v="0"/>
  </r>
  <r>
    <x v="135"/>
    <x v="0"/>
    <x v="1"/>
    <x v="1"/>
    <x v="6"/>
  </r>
  <r>
    <x v="136"/>
    <x v="0"/>
    <x v="0"/>
    <x v="1"/>
    <x v="5"/>
  </r>
  <r>
    <x v="137"/>
    <x v="0"/>
    <x v="0"/>
    <x v="0"/>
    <x v="7"/>
  </r>
  <r>
    <x v="138"/>
    <x v="0"/>
    <x v="1"/>
    <x v="1"/>
    <x v="2"/>
  </r>
  <r>
    <x v="139"/>
    <x v="0"/>
    <x v="0"/>
    <x v="0"/>
    <x v="5"/>
  </r>
  <r>
    <x v="140"/>
    <x v="0"/>
    <x v="0"/>
    <x v="1"/>
    <x v="0"/>
  </r>
  <r>
    <x v="141"/>
    <x v="0"/>
    <x v="0"/>
    <x v="0"/>
    <x v="3"/>
  </r>
  <r>
    <x v="142"/>
    <x v="0"/>
    <x v="1"/>
    <x v="1"/>
    <x v="3"/>
  </r>
  <r>
    <x v="143"/>
    <x v="0"/>
    <x v="0"/>
    <x v="1"/>
    <x v="0"/>
  </r>
  <r>
    <x v="144"/>
    <x v="0"/>
    <x v="0"/>
    <x v="0"/>
    <x v="0"/>
  </r>
  <r>
    <x v="145"/>
    <x v="0"/>
    <x v="0"/>
    <x v="1"/>
    <x v="3"/>
  </r>
  <r>
    <x v="146"/>
    <x v="0"/>
    <x v="0"/>
    <x v="0"/>
    <x v="3"/>
  </r>
  <r>
    <x v="147"/>
    <x v="0"/>
    <x v="1"/>
    <x v="1"/>
    <x v="0"/>
  </r>
  <r>
    <x v="148"/>
    <x v="0"/>
    <x v="1"/>
    <x v="1"/>
    <x v="3"/>
  </r>
  <r>
    <x v="149"/>
    <x v="0"/>
    <x v="0"/>
    <x v="0"/>
    <x v="2"/>
  </r>
  <r>
    <x v="150"/>
    <x v="0"/>
    <x v="1"/>
    <x v="1"/>
    <x v="3"/>
  </r>
  <r>
    <x v="151"/>
    <x v="0"/>
    <x v="0"/>
    <x v="1"/>
    <x v="0"/>
  </r>
  <r>
    <x v="152"/>
    <x v="0"/>
    <x v="0"/>
    <x v="1"/>
    <x v="0"/>
  </r>
  <r>
    <x v="153"/>
    <x v="0"/>
    <x v="0"/>
    <x v="0"/>
    <x v="0"/>
  </r>
  <r>
    <x v="154"/>
    <x v="0"/>
    <x v="1"/>
    <x v="1"/>
    <x v="5"/>
  </r>
  <r>
    <x v="155"/>
    <x v="0"/>
    <x v="0"/>
    <x v="0"/>
    <x v="5"/>
  </r>
  <r>
    <x v="156"/>
    <x v="0"/>
    <x v="1"/>
    <x v="1"/>
    <x v="3"/>
  </r>
  <r>
    <x v="157"/>
    <x v="0"/>
    <x v="1"/>
    <x v="1"/>
    <x v="0"/>
  </r>
  <r>
    <x v="158"/>
    <x v="0"/>
    <x v="1"/>
    <x v="1"/>
    <x v="5"/>
  </r>
  <r>
    <x v="159"/>
    <x v="0"/>
    <x v="0"/>
    <x v="0"/>
    <x v="7"/>
  </r>
  <r>
    <x v="160"/>
    <x v="0"/>
    <x v="0"/>
    <x v="0"/>
    <x v="3"/>
  </r>
  <r>
    <x v="161"/>
    <x v="0"/>
    <x v="0"/>
    <x v="0"/>
    <x v="5"/>
  </r>
  <r>
    <x v="162"/>
    <x v="0"/>
    <x v="1"/>
    <x v="1"/>
    <x v="3"/>
  </r>
  <r>
    <x v="163"/>
    <x v="0"/>
    <x v="0"/>
    <x v="0"/>
    <x v="2"/>
  </r>
  <r>
    <x v="164"/>
    <x v="0"/>
    <x v="0"/>
    <x v="1"/>
    <x v="2"/>
  </r>
  <r>
    <x v="165"/>
    <x v="0"/>
    <x v="0"/>
    <x v="1"/>
    <x v="2"/>
  </r>
  <r>
    <x v="166"/>
    <x v="0"/>
    <x v="1"/>
    <x v="1"/>
    <x v="0"/>
  </r>
  <r>
    <x v="167"/>
    <x v="0"/>
    <x v="0"/>
    <x v="0"/>
    <x v="2"/>
  </r>
  <r>
    <x v="168"/>
    <x v="0"/>
    <x v="0"/>
    <x v="0"/>
    <x v="2"/>
  </r>
  <r>
    <x v="169"/>
    <x v="0"/>
    <x v="1"/>
    <x v="0"/>
    <x v="5"/>
  </r>
  <r>
    <x v="170"/>
    <x v="0"/>
    <x v="0"/>
    <x v="1"/>
    <x v="3"/>
  </r>
  <r>
    <x v="171"/>
    <x v="0"/>
    <x v="1"/>
    <x v="1"/>
    <x v="3"/>
  </r>
  <r>
    <x v="172"/>
    <x v="0"/>
    <x v="1"/>
    <x v="1"/>
    <x v="5"/>
  </r>
  <r>
    <x v="173"/>
    <x v="0"/>
    <x v="1"/>
    <x v="1"/>
    <x v="2"/>
  </r>
  <r>
    <x v="174"/>
    <x v="0"/>
    <x v="1"/>
    <x v="1"/>
    <x v="5"/>
  </r>
  <r>
    <x v="175"/>
    <x v="0"/>
    <x v="1"/>
    <x v="1"/>
    <x v="3"/>
  </r>
  <r>
    <x v="176"/>
    <x v="0"/>
    <x v="0"/>
    <x v="0"/>
    <x v="0"/>
  </r>
  <r>
    <x v="177"/>
    <x v="0"/>
    <x v="0"/>
    <x v="1"/>
    <x v="3"/>
  </r>
  <r>
    <x v="178"/>
    <x v="0"/>
    <x v="0"/>
    <x v="0"/>
    <x v="3"/>
  </r>
  <r>
    <x v="179"/>
    <x v="0"/>
    <x v="1"/>
    <x v="1"/>
    <x v="0"/>
  </r>
  <r>
    <x v="180"/>
    <x v="0"/>
    <x v="0"/>
    <x v="0"/>
    <x v="2"/>
  </r>
  <r>
    <x v="181"/>
    <x v="0"/>
    <x v="0"/>
    <x v="0"/>
    <x v="3"/>
  </r>
  <r>
    <x v="182"/>
    <x v="0"/>
    <x v="0"/>
    <x v="0"/>
    <x v="2"/>
  </r>
  <r>
    <x v="183"/>
    <x v="0"/>
    <x v="0"/>
    <x v="1"/>
    <x v="2"/>
  </r>
  <r>
    <x v="184"/>
    <x v="0"/>
    <x v="1"/>
    <x v="1"/>
    <x v="0"/>
  </r>
  <r>
    <x v="185"/>
    <x v="0"/>
    <x v="1"/>
    <x v="1"/>
    <x v="3"/>
  </r>
  <r>
    <x v="186"/>
    <x v="0"/>
    <x v="0"/>
    <x v="0"/>
    <x v="5"/>
  </r>
  <r>
    <x v="187"/>
    <x v="0"/>
    <x v="0"/>
    <x v="0"/>
    <x v="7"/>
  </r>
  <r>
    <x v="188"/>
    <x v="0"/>
    <x v="0"/>
    <x v="0"/>
    <x v="5"/>
  </r>
  <r>
    <x v="189"/>
    <x v="0"/>
    <x v="1"/>
    <x v="1"/>
    <x v="0"/>
  </r>
  <r>
    <x v="190"/>
    <x v="0"/>
    <x v="0"/>
    <x v="0"/>
    <x v="0"/>
  </r>
  <r>
    <x v="191"/>
    <x v="0"/>
    <x v="1"/>
    <x v="1"/>
    <x v="2"/>
  </r>
  <r>
    <x v="192"/>
    <x v="0"/>
    <x v="0"/>
    <x v="0"/>
    <x v="5"/>
  </r>
  <r>
    <x v="193"/>
    <x v="0"/>
    <x v="0"/>
    <x v="0"/>
    <x v="7"/>
  </r>
  <r>
    <x v="194"/>
    <x v="0"/>
    <x v="1"/>
    <x v="1"/>
    <x v="2"/>
  </r>
  <r>
    <x v="195"/>
    <x v="0"/>
    <x v="0"/>
    <x v="0"/>
    <x v="7"/>
  </r>
  <r>
    <x v="196"/>
    <x v="0"/>
    <x v="0"/>
    <x v="1"/>
    <x v="0"/>
  </r>
  <r>
    <x v="197"/>
    <x v="0"/>
    <x v="1"/>
    <x v="1"/>
    <x v="7"/>
  </r>
  <r>
    <x v="198"/>
    <x v="0"/>
    <x v="0"/>
    <x v="0"/>
    <x v="7"/>
  </r>
  <r>
    <x v="199"/>
    <x v="0"/>
    <x v="0"/>
    <x v="0"/>
    <x v="0"/>
  </r>
  <r>
    <x v="200"/>
    <x v="0"/>
    <x v="1"/>
    <x v="1"/>
    <x v="3"/>
  </r>
  <r>
    <x v="201"/>
    <x v="0"/>
    <x v="1"/>
    <x v="1"/>
    <x v="5"/>
  </r>
  <r>
    <x v="202"/>
    <x v="0"/>
    <x v="0"/>
    <x v="1"/>
    <x v="2"/>
  </r>
  <r>
    <x v="203"/>
    <x v="0"/>
    <x v="1"/>
    <x v="1"/>
    <x v="0"/>
  </r>
  <r>
    <x v="204"/>
    <x v="0"/>
    <x v="0"/>
    <x v="0"/>
    <x v="0"/>
  </r>
  <r>
    <x v="205"/>
    <x v="0"/>
    <x v="1"/>
    <x v="1"/>
    <x v="4"/>
  </r>
  <r>
    <x v="206"/>
    <x v="0"/>
    <x v="1"/>
    <x v="1"/>
    <x v="3"/>
  </r>
  <r>
    <x v="207"/>
    <x v="0"/>
    <x v="0"/>
    <x v="0"/>
    <x v="2"/>
  </r>
  <r>
    <x v="208"/>
    <x v="0"/>
    <x v="0"/>
    <x v="0"/>
    <x v="2"/>
  </r>
  <r>
    <x v="209"/>
    <x v="0"/>
    <x v="0"/>
    <x v="1"/>
    <x v="2"/>
  </r>
  <r>
    <x v="210"/>
    <x v="0"/>
    <x v="1"/>
    <x v="1"/>
    <x v="5"/>
  </r>
  <r>
    <x v="211"/>
    <x v="0"/>
    <x v="1"/>
    <x v="1"/>
    <x v="3"/>
  </r>
  <r>
    <x v="212"/>
    <x v="0"/>
    <x v="1"/>
    <x v="1"/>
    <x v="2"/>
  </r>
  <r>
    <x v="213"/>
    <x v="0"/>
    <x v="0"/>
    <x v="0"/>
    <x v="2"/>
  </r>
  <r>
    <x v="214"/>
    <x v="0"/>
    <x v="0"/>
    <x v="0"/>
    <x v="0"/>
  </r>
  <r>
    <x v="215"/>
    <x v="0"/>
    <x v="1"/>
    <x v="1"/>
    <x v="5"/>
  </r>
  <r>
    <x v="216"/>
    <x v="0"/>
    <x v="0"/>
    <x v="0"/>
    <x v="7"/>
  </r>
  <r>
    <x v="217"/>
    <x v="0"/>
    <x v="1"/>
    <x v="1"/>
    <x v="4"/>
  </r>
  <r>
    <x v="218"/>
    <x v="0"/>
    <x v="0"/>
    <x v="0"/>
    <x v="2"/>
  </r>
  <r>
    <x v="219"/>
    <x v="0"/>
    <x v="0"/>
    <x v="1"/>
    <x v="0"/>
  </r>
  <r>
    <x v="220"/>
    <x v="0"/>
    <x v="0"/>
    <x v="0"/>
    <x v="0"/>
  </r>
  <r>
    <x v="221"/>
    <x v="0"/>
    <x v="1"/>
    <x v="1"/>
    <x v="4"/>
  </r>
  <r>
    <x v="222"/>
    <x v="0"/>
    <x v="1"/>
    <x v="1"/>
    <x v="0"/>
  </r>
  <r>
    <x v="223"/>
    <x v="0"/>
    <x v="1"/>
    <x v="1"/>
    <x v="0"/>
  </r>
  <r>
    <x v="224"/>
    <x v="0"/>
    <x v="1"/>
    <x v="1"/>
    <x v="3"/>
  </r>
  <r>
    <x v="225"/>
    <x v="0"/>
    <x v="1"/>
    <x v="1"/>
    <x v="0"/>
  </r>
  <r>
    <x v="226"/>
    <x v="0"/>
    <x v="1"/>
    <x v="1"/>
    <x v="0"/>
  </r>
  <r>
    <x v="227"/>
    <x v="0"/>
    <x v="0"/>
    <x v="0"/>
    <x v="0"/>
  </r>
  <r>
    <x v="228"/>
    <x v="0"/>
    <x v="1"/>
    <x v="1"/>
    <x v="7"/>
  </r>
  <r>
    <x v="229"/>
    <x v="0"/>
    <x v="0"/>
    <x v="0"/>
    <x v="7"/>
  </r>
  <r>
    <x v="230"/>
    <x v="0"/>
    <x v="0"/>
    <x v="0"/>
    <x v="2"/>
  </r>
  <r>
    <x v="231"/>
    <x v="0"/>
    <x v="0"/>
    <x v="1"/>
    <x v="5"/>
  </r>
  <r>
    <x v="232"/>
    <x v="0"/>
    <x v="1"/>
    <x v="1"/>
    <x v="3"/>
  </r>
  <r>
    <x v="233"/>
    <x v="0"/>
    <x v="0"/>
    <x v="0"/>
    <x v="5"/>
  </r>
  <r>
    <x v="234"/>
    <x v="0"/>
    <x v="1"/>
    <x v="1"/>
    <x v="2"/>
  </r>
  <r>
    <x v="235"/>
    <x v="0"/>
    <x v="0"/>
    <x v="1"/>
    <x v="0"/>
  </r>
  <r>
    <x v="236"/>
    <x v="0"/>
    <x v="1"/>
    <x v="1"/>
    <x v="0"/>
  </r>
  <r>
    <x v="237"/>
    <x v="0"/>
    <x v="1"/>
    <x v="1"/>
    <x v="0"/>
  </r>
  <r>
    <x v="238"/>
    <x v="0"/>
    <x v="0"/>
    <x v="0"/>
    <x v="3"/>
  </r>
  <r>
    <x v="239"/>
    <x v="0"/>
    <x v="1"/>
    <x v="1"/>
    <x v="2"/>
  </r>
  <r>
    <x v="240"/>
    <x v="0"/>
    <x v="0"/>
    <x v="1"/>
    <x v="3"/>
  </r>
  <r>
    <x v="241"/>
    <x v="0"/>
    <x v="1"/>
    <x v="1"/>
    <x v="0"/>
  </r>
  <r>
    <x v="242"/>
    <x v="0"/>
    <x v="0"/>
    <x v="0"/>
    <x v="2"/>
  </r>
  <r>
    <x v="243"/>
    <x v="0"/>
    <x v="1"/>
    <x v="1"/>
    <x v="3"/>
  </r>
  <r>
    <x v="244"/>
    <x v="0"/>
    <x v="1"/>
    <x v="1"/>
    <x v="2"/>
  </r>
  <r>
    <x v="245"/>
    <x v="0"/>
    <x v="0"/>
    <x v="0"/>
    <x v="2"/>
  </r>
  <r>
    <x v="246"/>
    <x v="0"/>
    <x v="1"/>
    <x v="1"/>
    <x v="5"/>
  </r>
  <r>
    <x v="247"/>
    <x v="0"/>
    <x v="0"/>
    <x v="0"/>
    <x v="5"/>
  </r>
  <r>
    <x v="248"/>
    <x v="0"/>
    <x v="1"/>
    <x v="1"/>
    <x v="2"/>
  </r>
  <r>
    <x v="249"/>
    <x v="0"/>
    <x v="0"/>
    <x v="1"/>
    <x v="7"/>
  </r>
  <r>
    <x v="250"/>
    <x v="0"/>
    <x v="0"/>
    <x v="0"/>
    <x v="7"/>
  </r>
  <r>
    <x v="251"/>
    <x v="0"/>
    <x v="0"/>
    <x v="0"/>
    <x v="0"/>
  </r>
  <r>
    <x v="252"/>
    <x v="0"/>
    <x v="1"/>
    <x v="1"/>
    <x v="4"/>
  </r>
  <r>
    <x v="253"/>
    <x v="0"/>
    <x v="0"/>
    <x v="0"/>
    <x v="3"/>
  </r>
  <r>
    <x v="254"/>
    <x v="0"/>
    <x v="0"/>
    <x v="1"/>
    <x v="0"/>
  </r>
  <r>
    <x v="255"/>
    <x v="0"/>
    <x v="0"/>
    <x v="0"/>
    <x v="0"/>
  </r>
  <r>
    <x v="256"/>
    <x v="0"/>
    <x v="0"/>
    <x v="1"/>
    <x v="0"/>
  </r>
  <r>
    <x v="257"/>
    <x v="0"/>
    <x v="0"/>
    <x v="0"/>
    <x v="2"/>
  </r>
  <r>
    <x v="258"/>
    <x v="0"/>
    <x v="0"/>
    <x v="0"/>
    <x v="2"/>
  </r>
  <r>
    <x v="259"/>
    <x v="0"/>
    <x v="0"/>
    <x v="1"/>
    <x v="2"/>
  </r>
  <r>
    <x v="260"/>
    <x v="0"/>
    <x v="0"/>
    <x v="0"/>
    <x v="3"/>
  </r>
  <r>
    <x v="261"/>
    <x v="0"/>
    <x v="0"/>
    <x v="1"/>
    <x v="2"/>
  </r>
  <r>
    <x v="262"/>
    <x v="0"/>
    <x v="1"/>
    <x v="1"/>
    <x v="5"/>
  </r>
  <r>
    <x v="263"/>
    <x v="0"/>
    <x v="0"/>
    <x v="0"/>
    <x v="2"/>
  </r>
  <r>
    <x v="264"/>
    <x v="0"/>
    <x v="0"/>
    <x v="1"/>
    <x v="5"/>
  </r>
  <r>
    <x v="265"/>
    <x v="0"/>
    <x v="0"/>
    <x v="1"/>
    <x v="0"/>
  </r>
  <r>
    <x v="266"/>
    <x v="0"/>
    <x v="1"/>
    <x v="1"/>
    <x v="5"/>
  </r>
  <r>
    <x v="267"/>
    <x v="0"/>
    <x v="1"/>
    <x v="1"/>
    <x v="5"/>
  </r>
  <r>
    <x v="268"/>
    <x v="0"/>
    <x v="1"/>
    <x v="1"/>
    <x v="0"/>
  </r>
  <r>
    <x v="269"/>
    <x v="0"/>
    <x v="1"/>
    <x v="1"/>
    <x v="0"/>
  </r>
  <r>
    <x v="270"/>
    <x v="0"/>
    <x v="0"/>
    <x v="0"/>
    <x v="7"/>
  </r>
  <r>
    <x v="271"/>
    <x v="0"/>
    <x v="0"/>
    <x v="1"/>
    <x v="0"/>
  </r>
  <r>
    <x v="272"/>
    <x v="0"/>
    <x v="0"/>
    <x v="0"/>
    <x v="0"/>
  </r>
  <r>
    <x v="273"/>
    <x v="0"/>
    <x v="0"/>
    <x v="1"/>
    <x v="1"/>
  </r>
  <r>
    <x v="274"/>
    <x v="0"/>
    <x v="0"/>
    <x v="1"/>
    <x v="3"/>
  </r>
  <r>
    <x v="275"/>
    <x v="0"/>
    <x v="0"/>
    <x v="0"/>
    <x v="3"/>
  </r>
  <r>
    <x v="276"/>
    <x v="0"/>
    <x v="1"/>
    <x v="1"/>
    <x v="5"/>
  </r>
  <r>
    <x v="277"/>
    <x v="0"/>
    <x v="0"/>
    <x v="0"/>
    <x v="0"/>
  </r>
  <r>
    <x v="278"/>
    <x v="0"/>
    <x v="0"/>
    <x v="1"/>
    <x v="2"/>
  </r>
  <r>
    <x v="279"/>
    <x v="0"/>
    <x v="1"/>
    <x v="1"/>
    <x v="4"/>
  </r>
  <r>
    <x v="280"/>
    <x v="0"/>
    <x v="0"/>
    <x v="1"/>
    <x v="5"/>
  </r>
  <r>
    <x v="281"/>
    <x v="0"/>
    <x v="0"/>
    <x v="0"/>
    <x v="3"/>
  </r>
  <r>
    <x v="282"/>
    <x v="0"/>
    <x v="0"/>
    <x v="0"/>
    <x v="5"/>
  </r>
  <r>
    <x v="283"/>
    <x v="0"/>
    <x v="1"/>
    <x v="1"/>
    <x v="0"/>
  </r>
  <r>
    <x v="284"/>
    <x v="0"/>
    <x v="0"/>
    <x v="0"/>
    <x v="4"/>
  </r>
  <r>
    <x v="285"/>
    <x v="0"/>
    <x v="1"/>
    <x v="1"/>
    <x v="4"/>
  </r>
  <r>
    <x v="286"/>
    <x v="0"/>
    <x v="1"/>
    <x v="0"/>
    <x v="4"/>
  </r>
  <r>
    <x v="287"/>
    <x v="0"/>
    <x v="1"/>
    <x v="1"/>
    <x v="4"/>
  </r>
  <r>
    <x v="288"/>
    <x v="0"/>
    <x v="0"/>
    <x v="0"/>
    <x v="3"/>
  </r>
  <r>
    <x v="289"/>
    <x v="0"/>
    <x v="0"/>
    <x v="0"/>
    <x v="7"/>
  </r>
  <r>
    <x v="290"/>
    <x v="0"/>
    <x v="1"/>
    <x v="1"/>
    <x v="5"/>
  </r>
  <r>
    <x v="291"/>
    <x v="0"/>
    <x v="0"/>
    <x v="0"/>
    <x v="2"/>
  </r>
  <r>
    <x v="292"/>
    <x v="0"/>
    <x v="0"/>
    <x v="1"/>
    <x v="3"/>
  </r>
  <r>
    <x v="293"/>
    <x v="0"/>
    <x v="0"/>
    <x v="0"/>
    <x v="0"/>
  </r>
  <r>
    <x v="294"/>
    <x v="0"/>
    <x v="1"/>
    <x v="1"/>
    <x v="3"/>
  </r>
  <r>
    <x v="295"/>
    <x v="0"/>
    <x v="0"/>
    <x v="1"/>
    <x v="7"/>
  </r>
  <r>
    <x v="296"/>
    <x v="0"/>
    <x v="0"/>
    <x v="0"/>
    <x v="2"/>
  </r>
  <r>
    <x v="297"/>
    <x v="0"/>
    <x v="0"/>
    <x v="0"/>
    <x v="0"/>
  </r>
  <r>
    <x v="298"/>
    <x v="0"/>
    <x v="0"/>
    <x v="1"/>
    <x v="2"/>
  </r>
  <r>
    <x v="299"/>
    <x v="0"/>
    <x v="1"/>
    <x v="1"/>
    <x v="3"/>
  </r>
  <r>
    <x v="300"/>
    <x v="0"/>
    <x v="1"/>
    <x v="1"/>
    <x v="4"/>
  </r>
  <r>
    <x v="301"/>
    <x v="0"/>
    <x v="1"/>
    <x v="1"/>
    <x v="3"/>
  </r>
  <r>
    <x v="302"/>
    <x v="0"/>
    <x v="0"/>
    <x v="0"/>
    <x v="2"/>
  </r>
  <r>
    <x v="303"/>
    <x v="0"/>
    <x v="1"/>
    <x v="1"/>
    <x v="4"/>
  </r>
  <r>
    <x v="304"/>
    <x v="0"/>
    <x v="0"/>
    <x v="0"/>
    <x v="4"/>
  </r>
  <r>
    <x v="305"/>
    <x v="0"/>
    <x v="1"/>
    <x v="1"/>
    <x v="4"/>
  </r>
  <r>
    <x v="306"/>
    <x v="0"/>
    <x v="1"/>
    <x v="1"/>
    <x v="5"/>
  </r>
  <r>
    <x v="307"/>
    <x v="0"/>
    <x v="1"/>
    <x v="1"/>
    <x v="0"/>
  </r>
  <r>
    <x v="308"/>
    <x v="0"/>
    <x v="0"/>
    <x v="0"/>
    <x v="5"/>
  </r>
  <r>
    <x v="309"/>
    <x v="0"/>
    <x v="0"/>
    <x v="0"/>
    <x v="2"/>
  </r>
  <r>
    <x v="310"/>
    <x v="0"/>
    <x v="1"/>
    <x v="1"/>
    <x v="5"/>
  </r>
  <r>
    <x v="311"/>
    <x v="0"/>
    <x v="0"/>
    <x v="0"/>
    <x v="3"/>
  </r>
  <r>
    <x v="312"/>
    <x v="0"/>
    <x v="1"/>
    <x v="1"/>
    <x v="5"/>
  </r>
  <r>
    <x v="313"/>
    <x v="0"/>
    <x v="1"/>
    <x v="1"/>
    <x v="0"/>
  </r>
  <r>
    <x v="314"/>
    <x v="0"/>
    <x v="0"/>
    <x v="0"/>
    <x v="5"/>
  </r>
  <r>
    <x v="315"/>
    <x v="0"/>
    <x v="0"/>
    <x v="0"/>
    <x v="0"/>
  </r>
  <r>
    <x v="316"/>
    <x v="0"/>
    <x v="1"/>
    <x v="1"/>
    <x v="5"/>
  </r>
  <r>
    <x v="317"/>
    <x v="0"/>
    <x v="0"/>
    <x v="1"/>
    <x v="0"/>
  </r>
  <r>
    <x v="318"/>
    <x v="0"/>
    <x v="1"/>
    <x v="1"/>
    <x v="0"/>
  </r>
  <r>
    <x v="319"/>
    <x v="0"/>
    <x v="0"/>
    <x v="0"/>
    <x v="2"/>
  </r>
  <r>
    <x v="320"/>
    <x v="0"/>
    <x v="0"/>
    <x v="1"/>
    <x v="0"/>
  </r>
  <r>
    <x v="321"/>
    <x v="0"/>
    <x v="1"/>
    <x v="1"/>
    <x v="4"/>
  </r>
  <r>
    <x v="322"/>
    <x v="0"/>
    <x v="0"/>
    <x v="0"/>
    <x v="2"/>
  </r>
  <r>
    <x v="323"/>
    <x v="1"/>
    <x v="1"/>
    <x v="1"/>
    <x v="2"/>
  </r>
  <r>
    <x v="324"/>
    <x v="1"/>
    <x v="0"/>
    <x v="0"/>
    <x v="0"/>
  </r>
  <r>
    <x v="325"/>
    <x v="1"/>
    <x v="1"/>
    <x v="1"/>
    <x v="2"/>
  </r>
  <r>
    <x v="326"/>
    <x v="1"/>
    <x v="1"/>
    <x v="1"/>
    <x v="7"/>
  </r>
  <r>
    <x v="327"/>
    <x v="1"/>
    <x v="1"/>
    <x v="1"/>
    <x v="0"/>
  </r>
  <r>
    <x v="328"/>
    <x v="1"/>
    <x v="1"/>
    <x v="1"/>
    <x v="2"/>
  </r>
  <r>
    <x v="329"/>
    <x v="1"/>
    <x v="0"/>
    <x v="0"/>
    <x v="2"/>
  </r>
  <r>
    <x v="330"/>
    <x v="1"/>
    <x v="1"/>
    <x v="1"/>
    <x v="5"/>
  </r>
  <r>
    <x v="331"/>
    <x v="1"/>
    <x v="1"/>
    <x v="1"/>
    <x v="7"/>
  </r>
  <r>
    <x v="332"/>
    <x v="1"/>
    <x v="1"/>
    <x v="1"/>
    <x v="0"/>
  </r>
  <r>
    <x v="333"/>
    <x v="1"/>
    <x v="0"/>
    <x v="0"/>
    <x v="2"/>
  </r>
  <r>
    <x v="334"/>
    <x v="1"/>
    <x v="1"/>
    <x v="1"/>
    <x v="0"/>
  </r>
  <r>
    <x v="335"/>
    <x v="1"/>
    <x v="1"/>
    <x v="1"/>
    <x v="5"/>
  </r>
  <r>
    <x v="336"/>
    <x v="1"/>
    <x v="0"/>
    <x v="1"/>
    <x v="2"/>
  </r>
  <r>
    <x v="337"/>
    <x v="1"/>
    <x v="0"/>
    <x v="0"/>
    <x v="7"/>
  </r>
  <r>
    <x v="338"/>
    <x v="1"/>
    <x v="1"/>
    <x v="1"/>
    <x v="0"/>
  </r>
  <r>
    <x v="339"/>
    <x v="1"/>
    <x v="0"/>
    <x v="1"/>
    <x v="1"/>
  </r>
  <r>
    <x v="340"/>
    <x v="1"/>
    <x v="0"/>
    <x v="0"/>
    <x v="1"/>
  </r>
  <r>
    <x v="341"/>
    <x v="1"/>
    <x v="0"/>
    <x v="0"/>
    <x v="7"/>
  </r>
  <r>
    <x v="342"/>
    <x v="1"/>
    <x v="0"/>
    <x v="0"/>
    <x v="2"/>
  </r>
  <r>
    <x v="343"/>
    <x v="1"/>
    <x v="0"/>
    <x v="1"/>
    <x v="2"/>
  </r>
  <r>
    <x v="344"/>
    <x v="1"/>
    <x v="0"/>
    <x v="0"/>
    <x v="7"/>
  </r>
  <r>
    <x v="345"/>
    <x v="1"/>
    <x v="1"/>
    <x v="1"/>
    <x v="0"/>
  </r>
  <r>
    <x v="346"/>
    <x v="1"/>
    <x v="1"/>
    <x v="1"/>
    <x v="0"/>
  </r>
  <r>
    <x v="347"/>
    <x v="1"/>
    <x v="1"/>
    <x v="1"/>
    <x v="3"/>
  </r>
  <r>
    <x v="348"/>
    <x v="1"/>
    <x v="1"/>
    <x v="1"/>
    <x v="0"/>
  </r>
  <r>
    <x v="349"/>
    <x v="1"/>
    <x v="0"/>
    <x v="0"/>
    <x v="0"/>
  </r>
  <r>
    <x v="350"/>
    <x v="1"/>
    <x v="0"/>
    <x v="0"/>
    <x v="7"/>
  </r>
  <r>
    <x v="351"/>
    <x v="1"/>
    <x v="1"/>
    <x v="1"/>
    <x v="4"/>
  </r>
  <r>
    <x v="352"/>
    <x v="1"/>
    <x v="0"/>
    <x v="0"/>
    <x v="3"/>
  </r>
  <r>
    <x v="353"/>
    <x v="1"/>
    <x v="0"/>
    <x v="0"/>
    <x v="0"/>
  </r>
  <r>
    <x v="354"/>
    <x v="1"/>
    <x v="1"/>
    <x v="1"/>
    <x v="0"/>
  </r>
  <r>
    <x v="355"/>
    <x v="1"/>
    <x v="0"/>
    <x v="0"/>
    <x v="2"/>
  </r>
  <r>
    <x v="356"/>
    <x v="1"/>
    <x v="1"/>
    <x v="1"/>
    <x v="0"/>
  </r>
  <r>
    <x v="357"/>
    <x v="1"/>
    <x v="1"/>
    <x v="1"/>
    <x v="3"/>
  </r>
  <r>
    <x v="358"/>
    <x v="1"/>
    <x v="0"/>
    <x v="0"/>
    <x v="3"/>
  </r>
  <r>
    <x v="359"/>
    <x v="1"/>
    <x v="0"/>
    <x v="1"/>
    <x v="1"/>
  </r>
  <r>
    <x v="360"/>
    <x v="1"/>
    <x v="0"/>
    <x v="1"/>
    <x v="0"/>
  </r>
  <r>
    <x v="361"/>
    <x v="1"/>
    <x v="0"/>
    <x v="0"/>
    <x v="0"/>
  </r>
  <r>
    <x v="362"/>
    <x v="1"/>
    <x v="0"/>
    <x v="0"/>
    <x v="2"/>
  </r>
  <r>
    <x v="363"/>
    <x v="1"/>
    <x v="1"/>
    <x v="1"/>
    <x v="0"/>
  </r>
  <r>
    <x v="364"/>
    <x v="1"/>
    <x v="1"/>
    <x v="1"/>
    <x v="7"/>
  </r>
  <r>
    <x v="365"/>
    <x v="1"/>
    <x v="1"/>
    <x v="0"/>
    <x v="3"/>
  </r>
  <r>
    <x v="366"/>
    <x v="1"/>
    <x v="1"/>
    <x v="1"/>
    <x v="5"/>
  </r>
  <r>
    <x v="367"/>
    <x v="1"/>
    <x v="1"/>
    <x v="1"/>
    <x v="5"/>
  </r>
  <r>
    <x v="368"/>
    <x v="1"/>
    <x v="1"/>
    <x v="1"/>
    <x v="2"/>
  </r>
  <r>
    <x v="369"/>
    <x v="1"/>
    <x v="1"/>
    <x v="0"/>
    <x v="0"/>
  </r>
  <r>
    <x v="370"/>
    <x v="1"/>
    <x v="0"/>
    <x v="0"/>
    <x v="0"/>
  </r>
  <r>
    <x v="371"/>
    <x v="1"/>
    <x v="0"/>
    <x v="0"/>
    <x v="3"/>
  </r>
  <r>
    <x v="372"/>
    <x v="1"/>
    <x v="1"/>
    <x v="1"/>
    <x v="0"/>
  </r>
  <r>
    <x v="373"/>
    <x v="1"/>
    <x v="0"/>
    <x v="0"/>
    <x v="0"/>
  </r>
  <r>
    <x v="374"/>
    <x v="1"/>
    <x v="1"/>
    <x v="1"/>
    <x v="0"/>
  </r>
  <r>
    <x v="375"/>
    <x v="1"/>
    <x v="1"/>
    <x v="1"/>
    <x v="0"/>
  </r>
  <r>
    <x v="376"/>
    <x v="1"/>
    <x v="0"/>
    <x v="1"/>
    <x v="0"/>
  </r>
  <r>
    <x v="377"/>
    <x v="1"/>
    <x v="0"/>
    <x v="0"/>
    <x v="1"/>
  </r>
  <r>
    <x v="378"/>
    <x v="1"/>
    <x v="1"/>
    <x v="1"/>
    <x v="2"/>
  </r>
  <r>
    <x v="379"/>
    <x v="1"/>
    <x v="0"/>
    <x v="0"/>
    <x v="2"/>
  </r>
  <r>
    <x v="380"/>
    <x v="1"/>
    <x v="0"/>
    <x v="0"/>
    <x v="0"/>
  </r>
  <r>
    <x v="381"/>
    <x v="1"/>
    <x v="1"/>
    <x v="0"/>
    <x v="2"/>
  </r>
  <r>
    <x v="382"/>
    <x v="1"/>
    <x v="1"/>
    <x v="0"/>
    <x v="0"/>
  </r>
  <r>
    <x v="383"/>
    <x v="1"/>
    <x v="1"/>
    <x v="1"/>
    <x v="0"/>
  </r>
  <r>
    <x v="384"/>
    <x v="1"/>
    <x v="1"/>
    <x v="1"/>
    <x v="0"/>
  </r>
  <r>
    <x v="385"/>
    <x v="1"/>
    <x v="0"/>
    <x v="1"/>
    <x v="1"/>
  </r>
  <r>
    <x v="386"/>
    <x v="1"/>
    <x v="1"/>
    <x v="1"/>
    <x v="7"/>
  </r>
  <r>
    <x v="387"/>
    <x v="1"/>
    <x v="0"/>
    <x v="0"/>
    <x v="3"/>
  </r>
  <r>
    <x v="388"/>
    <x v="1"/>
    <x v="0"/>
    <x v="0"/>
    <x v="0"/>
  </r>
  <r>
    <x v="389"/>
    <x v="1"/>
    <x v="1"/>
    <x v="1"/>
    <x v="2"/>
  </r>
  <r>
    <x v="390"/>
    <x v="1"/>
    <x v="1"/>
    <x v="1"/>
    <x v="7"/>
  </r>
  <r>
    <x v="391"/>
    <x v="1"/>
    <x v="1"/>
    <x v="1"/>
    <x v="0"/>
  </r>
  <r>
    <x v="392"/>
    <x v="1"/>
    <x v="0"/>
    <x v="0"/>
    <x v="0"/>
  </r>
  <r>
    <x v="393"/>
    <x v="1"/>
    <x v="1"/>
    <x v="1"/>
    <x v="0"/>
  </r>
  <r>
    <x v="394"/>
    <x v="1"/>
    <x v="1"/>
    <x v="1"/>
    <x v="7"/>
  </r>
  <r>
    <x v="395"/>
    <x v="1"/>
    <x v="0"/>
    <x v="0"/>
    <x v="7"/>
  </r>
  <r>
    <x v="396"/>
    <x v="1"/>
    <x v="0"/>
    <x v="0"/>
    <x v="2"/>
  </r>
  <r>
    <x v="397"/>
    <x v="1"/>
    <x v="1"/>
    <x v="1"/>
    <x v="5"/>
  </r>
  <r>
    <x v="398"/>
    <x v="1"/>
    <x v="0"/>
    <x v="1"/>
    <x v="1"/>
  </r>
  <r>
    <x v="399"/>
    <x v="1"/>
    <x v="1"/>
    <x v="1"/>
    <x v="3"/>
  </r>
  <r>
    <x v="400"/>
    <x v="1"/>
    <x v="0"/>
    <x v="0"/>
    <x v="2"/>
  </r>
  <r>
    <x v="401"/>
    <x v="1"/>
    <x v="0"/>
    <x v="0"/>
    <x v="0"/>
  </r>
  <r>
    <x v="402"/>
    <x v="1"/>
    <x v="0"/>
    <x v="0"/>
    <x v="2"/>
  </r>
  <r>
    <x v="403"/>
    <x v="1"/>
    <x v="1"/>
    <x v="1"/>
    <x v="0"/>
  </r>
  <r>
    <x v="404"/>
    <x v="1"/>
    <x v="1"/>
    <x v="1"/>
    <x v="0"/>
  </r>
  <r>
    <x v="405"/>
    <x v="1"/>
    <x v="1"/>
    <x v="1"/>
    <x v="7"/>
  </r>
  <r>
    <x v="406"/>
    <x v="1"/>
    <x v="1"/>
    <x v="1"/>
    <x v="3"/>
  </r>
  <r>
    <x v="407"/>
    <x v="1"/>
    <x v="0"/>
    <x v="0"/>
    <x v="0"/>
  </r>
  <r>
    <x v="408"/>
    <x v="1"/>
    <x v="1"/>
    <x v="1"/>
    <x v="7"/>
  </r>
  <r>
    <x v="409"/>
    <x v="1"/>
    <x v="1"/>
    <x v="1"/>
    <x v="2"/>
  </r>
  <r>
    <x v="410"/>
    <x v="1"/>
    <x v="1"/>
    <x v="1"/>
    <x v="0"/>
  </r>
  <r>
    <x v="411"/>
    <x v="1"/>
    <x v="1"/>
    <x v="0"/>
    <x v="2"/>
  </r>
  <r>
    <x v="412"/>
    <x v="1"/>
    <x v="1"/>
    <x v="1"/>
    <x v="2"/>
  </r>
  <r>
    <x v="413"/>
    <x v="1"/>
    <x v="1"/>
    <x v="1"/>
    <x v="2"/>
  </r>
  <r>
    <x v="414"/>
    <x v="1"/>
    <x v="1"/>
    <x v="1"/>
    <x v="2"/>
  </r>
  <r>
    <x v="415"/>
    <x v="1"/>
    <x v="0"/>
    <x v="0"/>
    <x v="2"/>
  </r>
  <r>
    <x v="416"/>
    <x v="1"/>
    <x v="1"/>
    <x v="1"/>
    <x v="7"/>
  </r>
  <r>
    <x v="417"/>
    <x v="1"/>
    <x v="1"/>
    <x v="1"/>
    <x v="0"/>
  </r>
  <r>
    <x v="418"/>
    <x v="1"/>
    <x v="1"/>
    <x v="1"/>
    <x v="3"/>
  </r>
  <r>
    <x v="419"/>
    <x v="1"/>
    <x v="1"/>
    <x v="1"/>
    <x v="0"/>
  </r>
  <r>
    <x v="420"/>
    <x v="1"/>
    <x v="1"/>
    <x v="1"/>
    <x v="0"/>
  </r>
  <r>
    <x v="421"/>
    <x v="1"/>
    <x v="1"/>
    <x v="1"/>
    <x v="0"/>
  </r>
  <r>
    <x v="422"/>
    <x v="1"/>
    <x v="1"/>
    <x v="1"/>
    <x v="0"/>
  </r>
  <r>
    <x v="423"/>
    <x v="1"/>
    <x v="1"/>
    <x v="1"/>
    <x v="2"/>
  </r>
  <r>
    <x v="424"/>
    <x v="1"/>
    <x v="1"/>
    <x v="1"/>
    <x v="2"/>
  </r>
  <r>
    <x v="425"/>
    <x v="1"/>
    <x v="1"/>
    <x v="1"/>
    <x v="5"/>
  </r>
  <r>
    <x v="426"/>
    <x v="1"/>
    <x v="1"/>
    <x v="1"/>
    <x v="2"/>
  </r>
  <r>
    <x v="427"/>
    <x v="1"/>
    <x v="0"/>
    <x v="1"/>
    <x v="1"/>
  </r>
  <r>
    <x v="428"/>
    <x v="1"/>
    <x v="0"/>
    <x v="0"/>
    <x v="0"/>
  </r>
  <r>
    <x v="429"/>
    <x v="1"/>
    <x v="1"/>
    <x v="1"/>
    <x v="3"/>
  </r>
  <r>
    <x v="430"/>
    <x v="1"/>
    <x v="0"/>
    <x v="0"/>
    <x v="1"/>
  </r>
  <r>
    <x v="431"/>
    <x v="1"/>
    <x v="1"/>
    <x v="1"/>
    <x v="0"/>
  </r>
  <r>
    <x v="432"/>
    <x v="1"/>
    <x v="0"/>
    <x v="1"/>
    <x v="4"/>
  </r>
  <r>
    <x v="433"/>
    <x v="1"/>
    <x v="1"/>
    <x v="1"/>
    <x v="2"/>
  </r>
  <r>
    <x v="434"/>
    <x v="1"/>
    <x v="0"/>
    <x v="0"/>
    <x v="1"/>
  </r>
  <r>
    <x v="435"/>
    <x v="1"/>
    <x v="1"/>
    <x v="1"/>
    <x v="3"/>
  </r>
  <r>
    <x v="436"/>
    <x v="1"/>
    <x v="0"/>
    <x v="0"/>
    <x v="3"/>
  </r>
  <r>
    <x v="437"/>
    <x v="1"/>
    <x v="0"/>
    <x v="0"/>
    <x v="0"/>
  </r>
  <r>
    <x v="438"/>
    <x v="1"/>
    <x v="0"/>
    <x v="0"/>
    <x v="0"/>
  </r>
  <r>
    <x v="439"/>
    <x v="1"/>
    <x v="1"/>
    <x v="1"/>
    <x v="3"/>
  </r>
  <r>
    <x v="440"/>
    <x v="1"/>
    <x v="0"/>
    <x v="0"/>
    <x v="3"/>
  </r>
  <r>
    <x v="441"/>
    <x v="1"/>
    <x v="0"/>
    <x v="0"/>
    <x v="5"/>
  </r>
  <r>
    <x v="442"/>
    <x v="1"/>
    <x v="1"/>
    <x v="1"/>
    <x v="0"/>
  </r>
  <r>
    <x v="443"/>
    <x v="1"/>
    <x v="1"/>
    <x v="1"/>
    <x v="2"/>
  </r>
  <r>
    <x v="444"/>
    <x v="1"/>
    <x v="1"/>
    <x v="1"/>
    <x v="0"/>
  </r>
  <r>
    <x v="445"/>
    <x v="1"/>
    <x v="1"/>
    <x v="0"/>
    <x v="7"/>
  </r>
  <r>
    <x v="446"/>
    <x v="1"/>
    <x v="0"/>
    <x v="0"/>
    <x v="0"/>
  </r>
  <r>
    <x v="447"/>
    <x v="1"/>
    <x v="1"/>
    <x v="1"/>
    <x v="0"/>
  </r>
  <r>
    <x v="448"/>
    <x v="1"/>
    <x v="1"/>
    <x v="1"/>
    <x v="2"/>
  </r>
  <r>
    <x v="449"/>
    <x v="1"/>
    <x v="0"/>
    <x v="0"/>
    <x v="5"/>
  </r>
  <r>
    <x v="450"/>
    <x v="1"/>
    <x v="1"/>
    <x v="1"/>
    <x v="5"/>
  </r>
  <r>
    <x v="451"/>
    <x v="1"/>
    <x v="1"/>
    <x v="1"/>
    <x v="3"/>
  </r>
  <r>
    <x v="452"/>
    <x v="1"/>
    <x v="0"/>
    <x v="0"/>
    <x v="0"/>
  </r>
  <r>
    <x v="453"/>
    <x v="1"/>
    <x v="1"/>
    <x v="1"/>
    <x v="0"/>
  </r>
  <r>
    <x v="454"/>
    <x v="1"/>
    <x v="0"/>
    <x v="1"/>
    <x v="3"/>
  </r>
  <r>
    <x v="455"/>
    <x v="1"/>
    <x v="1"/>
    <x v="1"/>
    <x v="4"/>
  </r>
  <r>
    <x v="456"/>
    <x v="1"/>
    <x v="1"/>
    <x v="0"/>
    <x v="4"/>
  </r>
  <r>
    <x v="457"/>
    <x v="1"/>
    <x v="1"/>
    <x v="1"/>
    <x v="2"/>
  </r>
  <r>
    <x v="458"/>
    <x v="1"/>
    <x v="0"/>
    <x v="0"/>
    <x v="7"/>
  </r>
  <r>
    <x v="459"/>
    <x v="1"/>
    <x v="1"/>
    <x v="1"/>
    <x v="3"/>
  </r>
  <r>
    <x v="460"/>
    <x v="1"/>
    <x v="0"/>
    <x v="0"/>
    <x v="0"/>
  </r>
  <r>
    <x v="461"/>
    <x v="1"/>
    <x v="1"/>
    <x v="1"/>
    <x v="3"/>
  </r>
  <r>
    <x v="462"/>
    <x v="1"/>
    <x v="1"/>
    <x v="1"/>
    <x v="0"/>
  </r>
  <r>
    <x v="463"/>
    <x v="1"/>
    <x v="1"/>
    <x v="1"/>
    <x v="0"/>
  </r>
  <r>
    <x v="464"/>
    <x v="1"/>
    <x v="1"/>
    <x v="1"/>
    <x v="2"/>
  </r>
  <r>
    <x v="465"/>
    <x v="1"/>
    <x v="0"/>
    <x v="0"/>
    <x v="0"/>
  </r>
  <r>
    <x v="466"/>
    <x v="1"/>
    <x v="1"/>
    <x v="1"/>
    <x v="2"/>
  </r>
  <r>
    <x v="467"/>
    <x v="1"/>
    <x v="0"/>
    <x v="0"/>
    <x v="0"/>
  </r>
  <r>
    <x v="468"/>
    <x v="1"/>
    <x v="1"/>
    <x v="0"/>
    <x v="0"/>
  </r>
  <r>
    <x v="469"/>
    <x v="1"/>
    <x v="0"/>
    <x v="0"/>
    <x v="0"/>
  </r>
  <r>
    <x v="470"/>
    <x v="1"/>
    <x v="1"/>
    <x v="1"/>
    <x v="2"/>
  </r>
  <r>
    <x v="471"/>
    <x v="1"/>
    <x v="0"/>
    <x v="0"/>
    <x v="3"/>
  </r>
  <r>
    <x v="472"/>
    <x v="1"/>
    <x v="1"/>
    <x v="1"/>
    <x v="5"/>
  </r>
  <r>
    <x v="473"/>
    <x v="1"/>
    <x v="1"/>
    <x v="1"/>
    <x v="0"/>
  </r>
  <r>
    <x v="474"/>
    <x v="1"/>
    <x v="1"/>
    <x v="1"/>
    <x v="2"/>
  </r>
  <r>
    <x v="475"/>
    <x v="1"/>
    <x v="1"/>
    <x v="0"/>
    <x v="0"/>
  </r>
  <r>
    <x v="476"/>
    <x v="1"/>
    <x v="1"/>
    <x v="1"/>
    <x v="2"/>
  </r>
  <r>
    <x v="477"/>
    <x v="1"/>
    <x v="1"/>
    <x v="1"/>
    <x v="0"/>
  </r>
  <r>
    <x v="478"/>
    <x v="1"/>
    <x v="0"/>
    <x v="0"/>
    <x v="1"/>
  </r>
  <r>
    <x v="479"/>
    <x v="1"/>
    <x v="0"/>
    <x v="0"/>
    <x v="1"/>
  </r>
  <r>
    <x v="480"/>
    <x v="1"/>
    <x v="1"/>
    <x v="1"/>
    <x v="0"/>
  </r>
  <r>
    <x v="481"/>
    <x v="1"/>
    <x v="0"/>
    <x v="0"/>
    <x v="0"/>
  </r>
  <r>
    <x v="482"/>
    <x v="1"/>
    <x v="0"/>
    <x v="0"/>
    <x v="7"/>
  </r>
  <r>
    <x v="483"/>
    <x v="1"/>
    <x v="0"/>
    <x v="0"/>
    <x v="0"/>
  </r>
  <r>
    <x v="484"/>
    <x v="1"/>
    <x v="0"/>
    <x v="0"/>
    <x v="2"/>
  </r>
  <r>
    <x v="485"/>
    <x v="1"/>
    <x v="1"/>
    <x v="1"/>
    <x v="2"/>
  </r>
  <r>
    <x v="486"/>
    <x v="1"/>
    <x v="1"/>
    <x v="1"/>
    <x v="0"/>
  </r>
  <r>
    <x v="487"/>
    <x v="1"/>
    <x v="1"/>
    <x v="1"/>
    <x v="4"/>
  </r>
  <r>
    <x v="488"/>
    <x v="1"/>
    <x v="1"/>
    <x v="1"/>
    <x v="5"/>
  </r>
  <r>
    <x v="489"/>
    <x v="1"/>
    <x v="0"/>
    <x v="0"/>
    <x v="3"/>
  </r>
  <r>
    <x v="490"/>
    <x v="1"/>
    <x v="1"/>
    <x v="0"/>
    <x v="5"/>
  </r>
  <r>
    <x v="491"/>
    <x v="1"/>
    <x v="1"/>
    <x v="1"/>
    <x v="0"/>
  </r>
  <r>
    <x v="492"/>
    <x v="1"/>
    <x v="0"/>
    <x v="1"/>
    <x v="1"/>
  </r>
  <r>
    <x v="493"/>
    <x v="1"/>
    <x v="1"/>
    <x v="1"/>
    <x v="2"/>
  </r>
  <r>
    <x v="494"/>
    <x v="1"/>
    <x v="0"/>
    <x v="0"/>
    <x v="0"/>
  </r>
  <r>
    <x v="495"/>
    <x v="1"/>
    <x v="1"/>
    <x v="1"/>
    <x v="0"/>
  </r>
  <r>
    <x v="496"/>
    <x v="1"/>
    <x v="1"/>
    <x v="1"/>
    <x v="2"/>
  </r>
  <r>
    <x v="497"/>
    <x v="1"/>
    <x v="1"/>
    <x v="1"/>
    <x v="3"/>
  </r>
  <r>
    <x v="498"/>
    <x v="1"/>
    <x v="1"/>
    <x v="1"/>
    <x v="2"/>
  </r>
  <r>
    <x v="499"/>
    <x v="1"/>
    <x v="1"/>
    <x v="1"/>
    <x v="2"/>
  </r>
  <r>
    <x v="500"/>
    <x v="1"/>
    <x v="1"/>
    <x v="1"/>
    <x v="3"/>
  </r>
  <r>
    <x v="501"/>
    <x v="1"/>
    <x v="0"/>
    <x v="0"/>
    <x v="7"/>
  </r>
  <r>
    <x v="502"/>
    <x v="1"/>
    <x v="0"/>
    <x v="0"/>
    <x v="3"/>
  </r>
  <r>
    <x v="503"/>
    <x v="1"/>
    <x v="0"/>
    <x v="1"/>
    <x v="7"/>
  </r>
  <r>
    <x v="504"/>
    <x v="1"/>
    <x v="1"/>
    <x v="1"/>
    <x v="2"/>
  </r>
  <r>
    <x v="505"/>
    <x v="1"/>
    <x v="1"/>
    <x v="1"/>
    <x v="3"/>
  </r>
  <r>
    <x v="506"/>
    <x v="1"/>
    <x v="1"/>
    <x v="1"/>
    <x v="6"/>
  </r>
  <r>
    <x v="507"/>
    <x v="1"/>
    <x v="1"/>
    <x v="1"/>
    <x v="0"/>
  </r>
  <r>
    <x v="508"/>
    <x v="1"/>
    <x v="1"/>
    <x v="1"/>
    <x v="5"/>
  </r>
  <r>
    <x v="509"/>
    <x v="1"/>
    <x v="1"/>
    <x v="1"/>
    <x v="2"/>
  </r>
  <r>
    <x v="510"/>
    <x v="1"/>
    <x v="1"/>
    <x v="1"/>
    <x v="7"/>
  </r>
  <r>
    <x v="511"/>
    <x v="1"/>
    <x v="1"/>
    <x v="1"/>
    <x v="4"/>
  </r>
  <r>
    <x v="512"/>
    <x v="1"/>
    <x v="1"/>
    <x v="1"/>
    <x v="2"/>
  </r>
  <r>
    <x v="513"/>
    <x v="1"/>
    <x v="0"/>
    <x v="0"/>
    <x v="7"/>
  </r>
  <r>
    <x v="514"/>
    <x v="1"/>
    <x v="0"/>
    <x v="1"/>
    <x v="1"/>
  </r>
  <r>
    <x v="515"/>
    <x v="1"/>
    <x v="0"/>
    <x v="1"/>
    <x v="1"/>
  </r>
  <r>
    <x v="516"/>
    <x v="1"/>
    <x v="1"/>
    <x v="1"/>
    <x v="2"/>
  </r>
  <r>
    <x v="517"/>
    <x v="1"/>
    <x v="1"/>
    <x v="1"/>
    <x v="0"/>
  </r>
  <r>
    <x v="518"/>
    <x v="1"/>
    <x v="1"/>
    <x v="1"/>
    <x v="7"/>
  </r>
  <r>
    <x v="519"/>
    <x v="1"/>
    <x v="1"/>
    <x v="1"/>
    <x v="0"/>
  </r>
  <r>
    <x v="520"/>
    <x v="1"/>
    <x v="0"/>
    <x v="1"/>
    <x v="0"/>
  </r>
  <r>
    <x v="521"/>
    <x v="1"/>
    <x v="0"/>
    <x v="0"/>
    <x v="0"/>
  </r>
  <r>
    <x v="522"/>
    <x v="1"/>
    <x v="1"/>
    <x v="1"/>
    <x v="2"/>
  </r>
  <r>
    <x v="523"/>
    <x v="1"/>
    <x v="0"/>
    <x v="1"/>
    <x v="0"/>
  </r>
  <r>
    <x v="524"/>
    <x v="1"/>
    <x v="0"/>
    <x v="1"/>
    <x v="0"/>
  </r>
  <r>
    <x v="525"/>
    <x v="1"/>
    <x v="1"/>
    <x v="1"/>
    <x v="0"/>
  </r>
  <r>
    <x v="526"/>
    <x v="1"/>
    <x v="0"/>
    <x v="1"/>
    <x v="0"/>
  </r>
  <r>
    <x v="527"/>
    <x v="1"/>
    <x v="1"/>
    <x v="1"/>
    <x v="0"/>
  </r>
  <r>
    <x v="528"/>
    <x v="1"/>
    <x v="1"/>
    <x v="1"/>
    <x v="0"/>
  </r>
  <r>
    <x v="529"/>
    <x v="1"/>
    <x v="0"/>
    <x v="0"/>
    <x v="5"/>
  </r>
  <r>
    <x v="530"/>
    <x v="1"/>
    <x v="1"/>
    <x v="1"/>
    <x v="7"/>
  </r>
  <r>
    <x v="531"/>
    <x v="1"/>
    <x v="1"/>
    <x v="1"/>
    <x v="0"/>
  </r>
  <r>
    <x v="532"/>
    <x v="1"/>
    <x v="1"/>
    <x v="1"/>
    <x v="3"/>
  </r>
  <r>
    <x v="533"/>
    <x v="1"/>
    <x v="0"/>
    <x v="0"/>
    <x v="0"/>
  </r>
  <r>
    <x v="534"/>
    <x v="1"/>
    <x v="0"/>
    <x v="0"/>
    <x v="7"/>
  </r>
  <r>
    <x v="535"/>
    <x v="1"/>
    <x v="1"/>
    <x v="1"/>
    <x v="3"/>
  </r>
  <r>
    <x v="536"/>
    <x v="1"/>
    <x v="0"/>
    <x v="0"/>
    <x v="2"/>
  </r>
  <r>
    <x v="537"/>
    <x v="1"/>
    <x v="1"/>
    <x v="1"/>
    <x v="2"/>
  </r>
  <r>
    <x v="538"/>
    <x v="1"/>
    <x v="0"/>
    <x v="1"/>
    <x v="2"/>
  </r>
  <r>
    <x v="539"/>
    <x v="1"/>
    <x v="1"/>
    <x v="1"/>
    <x v="0"/>
  </r>
  <r>
    <x v="540"/>
    <x v="1"/>
    <x v="0"/>
    <x v="0"/>
    <x v="1"/>
  </r>
  <r>
    <x v="541"/>
    <x v="1"/>
    <x v="0"/>
    <x v="0"/>
    <x v="1"/>
  </r>
  <r>
    <x v="542"/>
    <x v="1"/>
    <x v="0"/>
    <x v="0"/>
    <x v="2"/>
  </r>
  <r>
    <x v="543"/>
    <x v="1"/>
    <x v="1"/>
    <x v="1"/>
    <x v="2"/>
  </r>
  <r>
    <x v="544"/>
    <x v="1"/>
    <x v="1"/>
    <x v="1"/>
    <x v="2"/>
  </r>
  <r>
    <x v="545"/>
    <x v="1"/>
    <x v="0"/>
    <x v="0"/>
    <x v="2"/>
  </r>
  <r>
    <x v="546"/>
    <x v="1"/>
    <x v="0"/>
    <x v="0"/>
    <x v="0"/>
  </r>
  <r>
    <x v="547"/>
    <x v="1"/>
    <x v="1"/>
    <x v="1"/>
    <x v="0"/>
  </r>
  <r>
    <x v="548"/>
    <x v="1"/>
    <x v="0"/>
    <x v="1"/>
    <x v="1"/>
  </r>
  <r>
    <x v="549"/>
    <x v="1"/>
    <x v="0"/>
    <x v="1"/>
    <x v="1"/>
  </r>
  <r>
    <x v="550"/>
    <x v="1"/>
    <x v="0"/>
    <x v="0"/>
    <x v="0"/>
  </r>
  <r>
    <x v="551"/>
    <x v="1"/>
    <x v="0"/>
    <x v="0"/>
    <x v="5"/>
  </r>
  <r>
    <x v="552"/>
    <x v="1"/>
    <x v="1"/>
    <x v="1"/>
    <x v="7"/>
  </r>
  <r>
    <x v="553"/>
    <x v="1"/>
    <x v="0"/>
    <x v="0"/>
    <x v="0"/>
  </r>
  <r>
    <x v="554"/>
    <x v="1"/>
    <x v="1"/>
    <x v="1"/>
    <x v="0"/>
  </r>
  <r>
    <x v="555"/>
    <x v="1"/>
    <x v="1"/>
    <x v="1"/>
    <x v="0"/>
  </r>
  <r>
    <x v="556"/>
    <x v="1"/>
    <x v="1"/>
    <x v="1"/>
    <x v="0"/>
  </r>
  <r>
    <x v="557"/>
    <x v="1"/>
    <x v="0"/>
    <x v="0"/>
    <x v="0"/>
  </r>
  <r>
    <x v="558"/>
    <x v="1"/>
    <x v="0"/>
    <x v="0"/>
    <x v="7"/>
  </r>
  <r>
    <x v="559"/>
    <x v="1"/>
    <x v="0"/>
    <x v="0"/>
    <x v="0"/>
  </r>
  <r>
    <x v="560"/>
    <x v="1"/>
    <x v="0"/>
    <x v="0"/>
    <x v="2"/>
  </r>
  <r>
    <x v="561"/>
    <x v="1"/>
    <x v="1"/>
    <x v="1"/>
    <x v="5"/>
  </r>
  <r>
    <x v="562"/>
    <x v="1"/>
    <x v="0"/>
    <x v="0"/>
    <x v="2"/>
  </r>
  <r>
    <x v="563"/>
    <x v="1"/>
    <x v="1"/>
    <x v="1"/>
    <x v="2"/>
  </r>
  <r>
    <x v="564"/>
    <x v="1"/>
    <x v="0"/>
    <x v="0"/>
    <x v="3"/>
  </r>
  <r>
    <x v="565"/>
    <x v="1"/>
    <x v="1"/>
    <x v="1"/>
    <x v="0"/>
  </r>
  <r>
    <x v="566"/>
    <x v="1"/>
    <x v="1"/>
    <x v="1"/>
    <x v="3"/>
  </r>
  <r>
    <x v="567"/>
    <x v="1"/>
    <x v="1"/>
    <x v="1"/>
    <x v="0"/>
  </r>
  <r>
    <x v="568"/>
    <x v="1"/>
    <x v="1"/>
    <x v="1"/>
    <x v="7"/>
  </r>
  <r>
    <x v="569"/>
    <x v="1"/>
    <x v="1"/>
    <x v="1"/>
    <x v="7"/>
  </r>
  <r>
    <x v="570"/>
    <x v="1"/>
    <x v="0"/>
    <x v="0"/>
    <x v="5"/>
  </r>
  <r>
    <x v="571"/>
    <x v="1"/>
    <x v="1"/>
    <x v="1"/>
    <x v="0"/>
  </r>
  <r>
    <x v="572"/>
    <x v="1"/>
    <x v="0"/>
    <x v="0"/>
    <x v="0"/>
  </r>
  <r>
    <x v="573"/>
    <x v="1"/>
    <x v="0"/>
    <x v="0"/>
    <x v="0"/>
  </r>
  <r>
    <x v="574"/>
    <x v="1"/>
    <x v="1"/>
    <x v="1"/>
    <x v="0"/>
  </r>
  <r>
    <x v="575"/>
    <x v="1"/>
    <x v="1"/>
    <x v="0"/>
    <x v="0"/>
  </r>
  <r>
    <x v="576"/>
    <x v="1"/>
    <x v="1"/>
    <x v="1"/>
    <x v="3"/>
  </r>
  <r>
    <x v="577"/>
    <x v="1"/>
    <x v="0"/>
    <x v="0"/>
    <x v="2"/>
  </r>
  <r>
    <x v="578"/>
    <x v="1"/>
    <x v="1"/>
    <x v="1"/>
    <x v="2"/>
  </r>
  <r>
    <x v="579"/>
    <x v="1"/>
    <x v="1"/>
    <x v="1"/>
    <x v="0"/>
  </r>
  <r>
    <x v="580"/>
    <x v="1"/>
    <x v="0"/>
    <x v="0"/>
    <x v="2"/>
  </r>
  <r>
    <x v="581"/>
    <x v="1"/>
    <x v="1"/>
    <x v="1"/>
    <x v="0"/>
  </r>
  <r>
    <x v="582"/>
    <x v="1"/>
    <x v="0"/>
    <x v="0"/>
    <x v="7"/>
  </r>
  <r>
    <x v="583"/>
    <x v="1"/>
    <x v="0"/>
    <x v="0"/>
    <x v="3"/>
  </r>
  <r>
    <x v="584"/>
    <x v="1"/>
    <x v="0"/>
    <x v="0"/>
    <x v="2"/>
  </r>
  <r>
    <x v="585"/>
    <x v="1"/>
    <x v="1"/>
    <x v="1"/>
    <x v="0"/>
  </r>
  <r>
    <x v="586"/>
    <x v="1"/>
    <x v="0"/>
    <x v="0"/>
    <x v="0"/>
  </r>
  <r>
    <x v="587"/>
    <x v="1"/>
    <x v="0"/>
    <x v="1"/>
    <x v="1"/>
  </r>
  <r>
    <x v="588"/>
    <x v="1"/>
    <x v="0"/>
    <x v="0"/>
    <x v="1"/>
  </r>
  <r>
    <x v="589"/>
    <x v="1"/>
    <x v="0"/>
    <x v="0"/>
    <x v="0"/>
  </r>
  <r>
    <x v="590"/>
    <x v="1"/>
    <x v="0"/>
    <x v="0"/>
    <x v="1"/>
  </r>
  <r>
    <x v="591"/>
    <x v="1"/>
    <x v="0"/>
    <x v="0"/>
    <x v="1"/>
  </r>
  <r>
    <x v="592"/>
    <x v="1"/>
    <x v="1"/>
    <x v="1"/>
    <x v="2"/>
  </r>
  <r>
    <x v="593"/>
    <x v="1"/>
    <x v="0"/>
    <x v="0"/>
    <x v="2"/>
  </r>
  <r>
    <x v="594"/>
    <x v="1"/>
    <x v="1"/>
    <x v="1"/>
    <x v="4"/>
  </r>
  <r>
    <x v="595"/>
    <x v="1"/>
    <x v="1"/>
    <x v="1"/>
    <x v="0"/>
  </r>
  <r>
    <x v="596"/>
    <x v="1"/>
    <x v="0"/>
    <x v="1"/>
    <x v="2"/>
  </r>
  <r>
    <x v="597"/>
    <x v="1"/>
    <x v="0"/>
    <x v="1"/>
    <x v="0"/>
  </r>
  <r>
    <x v="598"/>
    <x v="1"/>
    <x v="0"/>
    <x v="0"/>
    <x v="0"/>
  </r>
  <r>
    <x v="599"/>
    <x v="1"/>
    <x v="1"/>
    <x v="0"/>
    <x v="0"/>
  </r>
  <r>
    <x v="600"/>
    <x v="2"/>
    <x v="1"/>
    <x v="1"/>
    <x v="3"/>
  </r>
  <r>
    <x v="601"/>
    <x v="2"/>
    <x v="1"/>
    <x v="1"/>
    <x v="7"/>
  </r>
  <r>
    <x v="602"/>
    <x v="2"/>
    <x v="1"/>
    <x v="1"/>
    <x v="7"/>
  </r>
  <r>
    <x v="603"/>
    <x v="2"/>
    <x v="0"/>
    <x v="0"/>
    <x v="2"/>
  </r>
  <r>
    <x v="604"/>
    <x v="2"/>
    <x v="0"/>
    <x v="0"/>
    <x v="7"/>
  </r>
  <r>
    <x v="605"/>
    <x v="2"/>
    <x v="0"/>
    <x v="1"/>
    <x v="0"/>
  </r>
  <r>
    <x v="606"/>
    <x v="2"/>
    <x v="0"/>
    <x v="1"/>
    <x v="0"/>
  </r>
  <r>
    <x v="607"/>
    <x v="2"/>
    <x v="0"/>
    <x v="0"/>
    <x v="7"/>
  </r>
  <r>
    <x v="608"/>
    <x v="2"/>
    <x v="1"/>
    <x v="1"/>
    <x v="2"/>
  </r>
  <r>
    <x v="609"/>
    <x v="2"/>
    <x v="1"/>
    <x v="1"/>
    <x v="0"/>
  </r>
  <r>
    <x v="610"/>
    <x v="2"/>
    <x v="1"/>
    <x v="0"/>
    <x v="3"/>
  </r>
  <r>
    <x v="611"/>
    <x v="2"/>
    <x v="0"/>
    <x v="1"/>
    <x v="1"/>
  </r>
  <r>
    <x v="612"/>
    <x v="2"/>
    <x v="0"/>
    <x v="0"/>
    <x v="7"/>
  </r>
  <r>
    <x v="613"/>
    <x v="2"/>
    <x v="0"/>
    <x v="1"/>
    <x v="0"/>
  </r>
  <r>
    <x v="614"/>
    <x v="2"/>
    <x v="1"/>
    <x v="1"/>
    <x v="0"/>
  </r>
  <r>
    <x v="615"/>
    <x v="2"/>
    <x v="1"/>
    <x v="1"/>
    <x v="0"/>
  </r>
  <r>
    <x v="616"/>
    <x v="2"/>
    <x v="1"/>
    <x v="1"/>
    <x v="0"/>
  </r>
  <r>
    <x v="617"/>
    <x v="2"/>
    <x v="1"/>
    <x v="1"/>
    <x v="0"/>
  </r>
  <r>
    <x v="618"/>
    <x v="2"/>
    <x v="1"/>
    <x v="1"/>
    <x v="2"/>
  </r>
  <r>
    <x v="619"/>
    <x v="2"/>
    <x v="1"/>
    <x v="1"/>
    <x v="7"/>
  </r>
  <r>
    <x v="620"/>
    <x v="2"/>
    <x v="1"/>
    <x v="1"/>
    <x v="2"/>
  </r>
  <r>
    <x v="621"/>
    <x v="2"/>
    <x v="0"/>
    <x v="0"/>
    <x v="7"/>
  </r>
  <r>
    <x v="622"/>
    <x v="2"/>
    <x v="1"/>
    <x v="1"/>
    <x v="1"/>
  </r>
  <r>
    <x v="623"/>
    <x v="2"/>
    <x v="1"/>
    <x v="0"/>
    <x v="1"/>
  </r>
  <r>
    <x v="624"/>
    <x v="2"/>
    <x v="1"/>
    <x v="0"/>
    <x v="1"/>
  </r>
  <r>
    <x v="625"/>
    <x v="2"/>
    <x v="0"/>
    <x v="0"/>
    <x v="7"/>
  </r>
  <r>
    <x v="626"/>
    <x v="2"/>
    <x v="1"/>
    <x v="0"/>
    <x v="2"/>
  </r>
  <r>
    <x v="627"/>
    <x v="2"/>
    <x v="1"/>
    <x v="0"/>
    <x v="1"/>
  </r>
  <r>
    <x v="628"/>
    <x v="2"/>
    <x v="1"/>
    <x v="0"/>
    <x v="7"/>
  </r>
  <r>
    <x v="629"/>
    <x v="2"/>
    <x v="1"/>
    <x v="1"/>
    <x v="2"/>
  </r>
  <r>
    <x v="630"/>
    <x v="2"/>
    <x v="0"/>
    <x v="1"/>
    <x v="0"/>
  </r>
  <r>
    <x v="631"/>
    <x v="2"/>
    <x v="1"/>
    <x v="1"/>
    <x v="0"/>
  </r>
  <r>
    <x v="632"/>
    <x v="2"/>
    <x v="1"/>
    <x v="0"/>
    <x v="2"/>
  </r>
  <r>
    <x v="633"/>
    <x v="2"/>
    <x v="1"/>
    <x v="1"/>
    <x v="0"/>
  </r>
  <r>
    <x v="634"/>
    <x v="2"/>
    <x v="1"/>
    <x v="1"/>
    <x v="0"/>
  </r>
  <r>
    <x v="635"/>
    <x v="2"/>
    <x v="1"/>
    <x v="1"/>
    <x v="0"/>
  </r>
  <r>
    <x v="636"/>
    <x v="2"/>
    <x v="1"/>
    <x v="0"/>
    <x v="7"/>
  </r>
  <r>
    <x v="637"/>
    <x v="2"/>
    <x v="1"/>
    <x v="1"/>
    <x v="0"/>
  </r>
  <r>
    <x v="638"/>
    <x v="2"/>
    <x v="1"/>
    <x v="1"/>
    <x v="2"/>
  </r>
  <r>
    <x v="639"/>
    <x v="2"/>
    <x v="1"/>
    <x v="1"/>
    <x v="1"/>
  </r>
  <r>
    <x v="640"/>
    <x v="2"/>
    <x v="1"/>
    <x v="1"/>
    <x v="1"/>
  </r>
  <r>
    <x v="641"/>
    <x v="2"/>
    <x v="0"/>
    <x v="1"/>
    <x v="1"/>
  </r>
  <r>
    <x v="642"/>
    <x v="2"/>
    <x v="1"/>
    <x v="1"/>
    <x v="7"/>
  </r>
  <r>
    <x v="643"/>
    <x v="2"/>
    <x v="0"/>
    <x v="0"/>
    <x v="1"/>
  </r>
  <r>
    <x v="644"/>
    <x v="2"/>
    <x v="1"/>
    <x v="1"/>
    <x v="3"/>
  </r>
  <r>
    <x v="645"/>
    <x v="2"/>
    <x v="0"/>
    <x v="1"/>
    <x v="0"/>
  </r>
  <r>
    <x v="646"/>
    <x v="2"/>
    <x v="0"/>
    <x v="0"/>
    <x v="2"/>
  </r>
  <r>
    <x v="647"/>
    <x v="2"/>
    <x v="0"/>
    <x v="0"/>
    <x v="3"/>
  </r>
  <r>
    <x v="648"/>
    <x v="2"/>
    <x v="1"/>
    <x v="1"/>
    <x v="0"/>
  </r>
  <r>
    <x v="649"/>
    <x v="2"/>
    <x v="1"/>
    <x v="1"/>
    <x v="0"/>
  </r>
  <r>
    <x v="650"/>
    <x v="2"/>
    <x v="1"/>
    <x v="0"/>
    <x v="7"/>
  </r>
  <r>
    <x v="651"/>
    <x v="2"/>
    <x v="1"/>
    <x v="1"/>
    <x v="2"/>
  </r>
  <r>
    <x v="652"/>
    <x v="2"/>
    <x v="1"/>
    <x v="1"/>
    <x v="0"/>
  </r>
  <r>
    <x v="653"/>
    <x v="2"/>
    <x v="0"/>
    <x v="0"/>
    <x v="7"/>
  </r>
  <r>
    <x v="654"/>
    <x v="2"/>
    <x v="1"/>
    <x v="1"/>
    <x v="0"/>
  </r>
  <r>
    <x v="655"/>
    <x v="2"/>
    <x v="1"/>
    <x v="1"/>
    <x v="2"/>
  </r>
  <r>
    <x v="656"/>
    <x v="2"/>
    <x v="0"/>
    <x v="0"/>
    <x v="2"/>
  </r>
  <r>
    <x v="657"/>
    <x v="2"/>
    <x v="0"/>
    <x v="0"/>
    <x v="1"/>
  </r>
  <r>
    <x v="658"/>
    <x v="2"/>
    <x v="0"/>
    <x v="0"/>
    <x v="1"/>
  </r>
  <r>
    <x v="659"/>
    <x v="2"/>
    <x v="0"/>
    <x v="0"/>
    <x v="1"/>
  </r>
  <r>
    <x v="660"/>
    <x v="2"/>
    <x v="0"/>
    <x v="0"/>
    <x v="0"/>
  </r>
  <r>
    <x v="661"/>
    <x v="2"/>
    <x v="0"/>
    <x v="0"/>
    <x v="7"/>
  </r>
  <r>
    <x v="662"/>
    <x v="2"/>
    <x v="1"/>
    <x v="1"/>
    <x v="3"/>
  </r>
  <r>
    <x v="663"/>
    <x v="2"/>
    <x v="1"/>
    <x v="1"/>
    <x v="0"/>
  </r>
  <r>
    <x v="664"/>
    <x v="2"/>
    <x v="0"/>
    <x v="1"/>
    <x v="0"/>
  </r>
  <r>
    <x v="665"/>
    <x v="2"/>
    <x v="1"/>
    <x v="0"/>
    <x v="7"/>
  </r>
  <r>
    <x v="666"/>
    <x v="2"/>
    <x v="1"/>
    <x v="0"/>
    <x v="3"/>
  </r>
  <r>
    <x v="667"/>
    <x v="2"/>
    <x v="1"/>
    <x v="0"/>
    <x v="0"/>
  </r>
  <r>
    <x v="668"/>
    <x v="2"/>
    <x v="1"/>
    <x v="1"/>
    <x v="0"/>
  </r>
  <r>
    <x v="669"/>
    <x v="2"/>
    <x v="1"/>
    <x v="1"/>
    <x v="7"/>
  </r>
  <r>
    <x v="670"/>
    <x v="2"/>
    <x v="1"/>
    <x v="1"/>
    <x v="0"/>
  </r>
  <r>
    <x v="671"/>
    <x v="2"/>
    <x v="1"/>
    <x v="1"/>
    <x v="0"/>
  </r>
  <r>
    <x v="672"/>
    <x v="2"/>
    <x v="1"/>
    <x v="1"/>
    <x v="0"/>
  </r>
  <r>
    <x v="673"/>
    <x v="2"/>
    <x v="1"/>
    <x v="1"/>
    <x v="0"/>
  </r>
  <r>
    <x v="674"/>
    <x v="2"/>
    <x v="0"/>
    <x v="1"/>
    <x v="2"/>
  </r>
  <r>
    <x v="675"/>
    <x v="2"/>
    <x v="1"/>
    <x v="1"/>
    <x v="0"/>
  </r>
  <r>
    <x v="676"/>
    <x v="2"/>
    <x v="1"/>
    <x v="1"/>
    <x v="7"/>
  </r>
  <r>
    <x v="677"/>
    <x v="2"/>
    <x v="1"/>
    <x v="1"/>
    <x v="0"/>
  </r>
  <r>
    <x v="678"/>
    <x v="2"/>
    <x v="1"/>
    <x v="1"/>
    <x v="1"/>
  </r>
  <r>
    <x v="679"/>
    <x v="2"/>
    <x v="1"/>
    <x v="0"/>
    <x v="1"/>
  </r>
  <r>
    <x v="680"/>
    <x v="2"/>
    <x v="1"/>
    <x v="1"/>
    <x v="0"/>
  </r>
  <r>
    <x v="681"/>
    <x v="2"/>
    <x v="1"/>
    <x v="0"/>
    <x v="0"/>
  </r>
  <r>
    <x v="682"/>
    <x v="2"/>
    <x v="1"/>
    <x v="0"/>
    <x v="0"/>
  </r>
  <r>
    <x v="683"/>
    <x v="2"/>
    <x v="1"/>
    <x v="1"/>
    <x v="3"/>
  </r>
  <r>
    <x v="684"/>
    <x v="2"/>
    <x v="1"/>
    <x v="0"/>
    <x v="2"/>
  </r>
  <r>
    <x v="685"/>
    <x v="2"/>
    <x v="1"/>
    <x v="1"/>
    <x v="0"/>
  </r>
  <r>
    <x v="686"/>
    <x v="2"/>
    <x v="0"/>
    <x v="0"/>
    <x v="0"/>
  </r>
  <r>
    <x v="687"/>
    <x v="2"/>
    <x v="1"/>
    <x v="0"/>
    <x v="0"/>
  </r>
  <r>
    <x v="688"/>
    <x v="2"/>
    <x v="1"/>
    <x v="1"/>
    <x v="0"/>
  </r>
  <r>
    <x v="689"/>
    <x v="2"/>
    <x v="1"/>
    <x v="1"/>
    <x v="0"/>
  </r>
  <r>
    <x v="690"/>
    <x v="2"/>
    <x v="1"/>
    <x v="1"/>
    <x v="0"/>
  </r>
  <r>
    <x v="691"/>
    <x v="2"/>
    <x v="1"/>
    <x v="1"/>
    <x v="2"/>
  </r>
  <r>
    <x v="692"/>
    <x v="2"/>
    <x v="1"/>
    <x v="0"/>
    <x v="7"/>
  </r>
  <r>
    <x v="693"/>
    <x v="2"/>
    <x v="0"/>
    <x v="1"/>
    <x v="0"/>
  </r>
  <r>
    <x v="694"/>
    <x v="2"/>
    <x v="1"/>
    <x v="1"/>
    <x v="7"/>
  </r>
  <r>
    <x v="695"/>
    <x v="2"/>
    <x v="1"/>
    <x v="0"/>
    <x v="7"/>
  </r>
  <r>
    <x v="696"/>
    <x v="2"/>
    <x v="1"/>
    <x v="0"/>
    <x v="0"/>
  </r>
  <r>
    <x v="697"/>
    <x v="2"/>
    <x v="1"/>
    <x v="0"/>
    <x v="2"/>
  </r>
  <r>
    <x v="698"/>
    <x v="2"/>
    <x v="1"/>
    <x v="1"/>
    <x v="7"/>
  </r>
  <r>
    <x v="699"/>
    <x v="2"/>
    <x v="1"/>
    <x v="1"/>
    <x v="2"/>
  </r>
  <r>
    <x v="700"/>
    <x v="2"/>
    <x v="1"/>
    <x v="1"/>
    <x v="7"/>
  </r>
  <r>
    <x v="701"/>
    <x v="2"/>
    <x v="1"/>
    <x v="1"/>
    <x v="7"/>
  </r>
  <r>
    <x v="702"/>
    <x v="2"/>
    <x v="1"/>
    <x v="0"/>
    <x v="0"/>
  </r>
  <r>
    <x v="703"/>
    <x v="2"/>
    <x v="1"/>
    <x v="1"/>
    <x v="0"/>
  </r>
  <r>
    <x v="704"/>
    <x v="2"/>
    <x v="1"/>
    <x v="1"/>
    <x v="0"/>
  </r>
  <r>
    <x v="705"/>
    <x v="2"/>
    <x v="1"/>
    <x v="1"/>
    <x v="0"/>
  </r>
  <r>
    <x v="706"/>
    <x v="2"/>
    <x v="1"/>
    <x v="0"/>
    <x v="0"/>
  </r>
  <r>
    <x v="707"/>
    <x v="2"/>
    <x v="1"/>
    <x v="1"/>
    <x v="0"/>
  </r>
  <r>
    <x v="708"/>
    <x v="2"/>
    <x v="1"/>
    <x v="1"/>
    <x v="0"/>
  </r>
  <r>
    <x v="709"/>
    <x v="2"/>
    <x v="0"/>
    <x v="0"/>
    <x v="7"/>
  </r>
  <r>
    <x v="710"/>
    <x v="2"/>
    <x v="1"/>
    <x v="0"/>
    <x v="2"/>
  </r>
  <r>
    <x v="711"/>
    <x v="2"/>
    <x v="1"/>
    <x v="1"/>
    <x v="0"/>
  </r>
  <r>
    <x v="712"/>
    <x v="2"/>
    <x v="1"/>
    <x v="1"/>
    <x v="0"/>
  </r>
  <r>
    <x v="713"/>
    <x v="2"/>
    <x v="1"/>
    <x v="1"/>
    <x v="0"/>
  </r>
  <r>
    <x v="714"/>
    <x v="2"/>
    <x v="0"/>
    <x v="1"/>
    <x v="2"/>
  </r>
  <r>
    <x v="715"/>
    <x v="2"/>
    <x v="1"/>
    <x v="1"/>
    <x v="0"/>
  </r>
  <r>
    <x v="716"/>
    <x v="2"/>
    <x v="1"/>
    <x v="1"/>
    <x v="0"/>
  </r>
  <r>
    <x v="717"/>
    <x v="2"/>
    <x v="1"/>
    <x v="1"/>
    <x v="7"/>
  </r>
  <r>
    <x v="718"/>
    <x v="2"/>
    <x v="1"/>
    <x v="1"/>
    <x v="0"/>
  </r>
  <r>
    <x v="719"/>
    <x v="2"/>
    <x v="0"/>
    <x v="1"/>
    <x v="7"/>
  </r>
  <r>
    <x v="720"/>
    <x v="2"/>
    <x v="1"/>
    <x v="1"/>
    <x v="0"/>
  </r>
  <r>
    <x v="721"/>
    <x v="2"/>
    <x v="1"/>
    <x v="1"/>
    <x v="2"/>
  </r>
  <r>
    <x v="722"/>
    <x v="2"/>
    <x v="1"/>
    <x v="1"/>
    <x v="0"/>
  </r>
  <r>
    <x v="723"/>
    <x v="2"/>
    <x v="1"/>
    <x v="1"/>
    <x v="2"/>
  </r>
  <r>
    <x v="724"/>
    <x v="2"/>
    <x v="1"/>
    <x v="1"/>
    <x v="2"/>
  </r>
  <r>
    <x v="725"/>
    <x v="2"/>
    <x v="0"/>
    <x v="0"/>
    <x v="0"/>
  </r>
  <r>
    <x v="726"/>
    <x v="2"/>
    <x v="1"/>
    <x v="0"/>
    <x v="2"/>
  </r>
  <r>
    <x v="727"/>
    <x v="2"/>
    <x v="1"/>
    <x v="1"/>
    <x v="6"/>
  </r>
  <r>
    <x v="728"/>
    <x v="2"/>
    <x v="1"/>
    <x v="1"/>
    <x v="3"/>
  </r>
  <r>
    <x v="729"/>
    <x v="2"/>
    <x v="1"/>
    <x v="1"/>
    <x v="2"/>
  </r>
  <r>
    <x v="730"/>
    <x v="2"/>
    <x v="1"/>
    <x v="1"/>
    <x v="0"/>
  </r>
  <r>
    <x v="731"/>
    <x v="2"/>
    <x v="1"/>
    <x v="1"/>
    <x v="7"/>
  </r>
  <r>
    <x v="732"/>
    <x v="2"/>
    <x v="1"/>
    <x v="1"/>
    <x v="2"/>
  </r>
  <r>
    <x v="733"/>
    <x v="2"/>
    <x v="0"/>
    <x v="1"/>
    <x v="1"/>
  </r>
  <r>
    <x v="734"/>
    <x v="2"/>
    <x v="0"/>
    <x v="1"/>
    <x v="1"/>
  </r>
  <r>
    <x v="735"/>
    <x v="2"/>
    <x v="0"/>
    <x v="0"/>
    <x v="2"/>
  </r>
  <r>
    <x v="736"/>
    <x v="2"/>
    <x v="1"/>
    <x v="1"/>
    <x v="5"/>
  </r>
  <r>
    <x v="737"/>
    <x v="2"/>
    <x v="1"/>
    <x v="1"/>
    <x v="7"/>
  </r>
  <r>
    <x v="738"/>
    <x v="2"/>
    <x v="0"/>
    <x v="0"/>
    <x v="7"/>
  </r>
  <r>
    <x v="739"/>
    <x v="2"/>
    <x v="1"/>
    <x v="1"/>
    <x v="3"/>
  </r>
  <r>
    <x v="740"/>
    <x v="2"/>
    <x v="1"/>
    <x v="1"/>
    <x v="7"/>
  </r>
  <r>
    <x v="741"/>
    <x v="2"/>
    <x v="1"/>
    <x v="1"/>
    <x v="0"/>
  </r>
  <r>
    <x v="742"/>
    <x v="2"/>
    <x v="0"/>
    <x v="1"/>
    <x v="3"/>
  </r>
  <r>
    <x v="743"/>
    <x v="2"/>
    <x v="1"/>
    <x v="0"/>
    <x v="0"/>
  </r>
  <r>
    <x v="744"/>
    <x v="2"/>
    <x v="1"/>
    <x v="1"/>
    <x v="7"/>
  </r>
  <r>
    <x v="745"/>
    <x v="2"/>
    <x v="0"/>
    <x v="0"/>
    <x v="2"/>
  </r>
  <r>
    <x v="746"/>
    <x v="2"/>
    <x v="0"/>
    <x v="1"/>
    <x v="0"/>
  </r>
  <r>
    <x v="747"/>
    <x v="2"/>
    <x v="1"/>
    <x v="1"/>
    <x v="1"/>
  </r>
  <r>
    <x v="748"/>
    <x v="2"/>
    <x v="1"/>
    <x v="1"/>
    <x v="2"/>
  </r>
  <r>
    <x v="749"/>
    <x v="2"/>
    <x v="1"/>
    <x v="0"/>
    <x v="0"/>
  </r>
  <r>
    <x v="750"/>
    <x v="2"/>
    <x v="1"/>
    <x v="1"/>
    <x v="0"/>
  </r>
  <r>
    <x v="751"/>
    <x v="2"/>
    <x v="1"/>
    <x v="1"/>
    <x v="0"/>
  </r>
  <r>
    <x v="752"/>
    <x v="2"/>
    <x v="1"/>
    <x v="1"/>
    <x v="0"/>
  </r>
  <r>
    <x v="753"/>
    <x v="2"/>
    <x v="1"/>
    <x v="1"/>
    <x v="0"/>
  </r>
  <r>
    <x v="754"/>
    <x v="2"/>
    <x v="1"/>
    <x v="1"/>
    <x v="0"/>
  </r>
  <r>
    <x v="755"/>
    <x v="2"/>
    <x v="1"/>
    <x v="1"/>
    <x v="7"/>
  </r>
  <r>
    <x v="756"/>
    <x v="2"/>
    <x v="1"/>
    <x v="1"/>
    <x v="0"/>
  </r>
  <r>
    <x v="757"/>
    <x v="2"/>
    <x v="0"/>
    <x v="0"/>
    <x v="0"/>
  </r>
  <r>
    <x v="758"/>
    <x v="2"/>
    <x v="0"/>
    <x v="1"/>
    <x v="2"/>
  </r>
  <r>
    <x v="759"/>
    <x v="2"/>
    <x v="0"/>
    <x v="0"/>
    <x v="2"/>
  </r>
  <r>
    <x v="760"/>
    <x v="2"/>
    <x v="0"/>
    <x v="1"/>
    <x v="2"/>
  </r>
  <r>
    <x v="761"/>
    <x v="2"/>
    <x v="1"/>
    <x v="1"/>
    <x v="7"/>
  </r>
  <r>
    <x v="762"/>
    <x v="2"/>
    <x v="0"/>
    <x v="1"/>
    <x v="1"/>
  </r>
  <r>
    <x v="763"/>
    <x v="2"/>
    <x v="0"/>
    <x v="0"/>
    <x v="1"/>
  </r>
  <r>
    <x v="764"/>
    <x v="2"/>
    <x v="1"/>
    <x v="1"/>
    <x v="0"/>
  </r>
  <r>
    <x v="765"/>
    <x v="2"/>
    <x v="0"/>
    <x v="0"/>
    <x v="2"/>
  </r>
  <r>
    <x v="766"/>
    <x v="2"/>
    <x v="1"/>
    <x v="1"/>
    <x v="0"/>
  </r>
  <r>
    <x v="767"/>
    <x v="2"/>
    <x v="1"/>
    <x v="1"/>
    <x v="0"/>
  </r>
  <r>
    <x v="768"/>
    <x v="2"/>
    <x v="1"/>
    <x v="1"/>
    <x v="0"/>
  </r>
  <r>
    <x v="769"/>
    <x v="2"/>
    <x v="1"/>
    <x v="1"/>
    <x v="0"/>
  </r>
  <r>
    <x v="770"/>
    <x v="2"/>
    <x v="1"/>
    <x v="1"/>
    <x v="2"/>
  </r>
  <r>
    <x v="771"/>
    <x v="2"/>
    <x v="0"/>
    <x v="0"/>
    <x v="7"/>
  </r>
  <r>
    <x v="772"/>
    <x v="2"/>
    <x v="1"/>
    <x v="1"/>
    <x v="7"/>
  </r>
  <r>
    <x v="773"/>
    <x v="2"/>
    <x v="1"/>
    <x v="1"/>
    <x v="3"/>
  </r>
  <r>
    <x v="774"/>
    <x v="2"/>
    <x v="1"/>
    <x v="1"/>
    <x v="3"/>
  </r>
  <r>
    <x v="775"/>
    <x v="2"/>
    <x v="1"/>
    <x v="1"/>
    <x v="0"/>
  </r>
  <r>
    <x v="776"/>
    <x v="2"/>
    <x v="1"/>
    <x v="1"/>
    <x v="2"/>
  </r>
  <r>
    <x v="777"/>
    <x v="2"/>
    <x v="0"/>
    <x v="1"/>
    <x v="7"/>
  </r>
  <r>
    <x v="778"/>
    <x v="2"/>
    <x v="0"/>
    <x v="0"/>
    <x v="2"/>
  </r>
  <r>
    <x v="779"/>
    <x v="2"/>
    <x v="1"/>
    <x v="0"/>
    <x v="0"/>
  </r>
  <r>
    <x v="780"/>
    <x v="2"/>
    <x v="0"/>
    <x v="0"/>
    <x v="0"/>
  </r>
  <r>
    <x v="781"/>
    <x v="2"/>
    <x v="1"/>
    <x v="1"/>
    <x v="2"/>
  </r>
  <r>
    <x v="782"/>
    <x v="2"/>
    <x v="1"/>
    <x v="1"/>
    <x v="4"/>
  </r>
  <r>
    <x v="783"/>
    <x v="2"/>
    <x v="0"/>
    <x v="1"/>
    <x v="0"/>
  </r>
  <r>
    <x v="784"/>
    <x v="2"/>
    <x v="1"/>
    <x v="1"/>
    <x v="0"/>
  </r>
  <r>
    <x v="785"/>
    <x v="2"/>
    <x v="0"/>
    <x v="0"/>
    <x v="0"/>
  </r>
  <r>
    <x v="786"/>
    <x v="2"/>
    <x v="1"/>
    <x v="1"/>
    <x v="7"/>
  </r>
  <r>
    <x v="787"/>
    <x v="2"/>
    <x v="1"/>
    <x v="1"/>
    <x v="7"/>
  </r>
  <r>
    <x v="788"/>
    <x v="2"/>
    <x v="1"/>
    <x v="1"/>
    <x v="3"/>
  </r>
  <r>
    <x v="789"/>
    <x v="2"/>
    <x v="1"/>
    <x v="1"/>
    <x v="0"/>
  </r>
  <r>
    <x v="790"/>
    <x v="2"/>
    <x v="1"/>
    <x v="1"/>
    <x v="2"/>
  </r>
  <r>
    <x v="791"/>
    <x v="2"/>
    <x v="1"/>
    <x v="1"/>
    <x v="7"/>
  </r>
  <r>
    <x v="792"/>
    <x v="2"/>
    <x v="1"/>
    <x v="1"/>
    <x v="7"/>
  </r>
  <r>
    <x v="793"/>
    <x v="2"/>
    <x v="1"/>
    <x v="1"/>
    <x v="3"/>
  </r>
  <r>
    <x v="794"/>
    <x v="2"/>
    <x v="0"/>
    <x v="0"/>
    <x v="1"/>
  </r>
  <r>
    <x v="795"/>
    <x v="2"/>
    <x v="1"/>
    <x v="1"/>
    <x v="0"/>
  </r>
  <r>
    <x v="796"/>
    <x v="2"/>
    <x v="1"/>
    <x v="1"/>
    <x v="3"/>
  </r>
  <r>
    <x v="797"/>
    <x v="2"/>
    <x v="1"/>
    <x v="1"/>
    <x v="3"/>
  </r>
  <r>
    <x v="798"/>
    <x v="2"/>
    <x v="0"/>
    <x v="1"/>
    <x v="0"/>
  </r>
  <r>
    <x v="799"/>
    <x v="2"/>
    <x v="1"/>
    <x v="1"/>
    <x v="7"/>
  </r>
  <r>
    <x v="800"/>
    <x v="2"/>
    <x v="1"/>
    <x v="0"/>
    <x v="0"/>
  </r>
  <r>
    <x v="801"/>
    <x v="2"/>
    <x v="1"/>
    <x v="1"/>
    <x v="0"/>
  </r>
  <r>
    <x v="802"/>
    <x v="2"/>
    <x v="1"/>
    <x v="1"/>
    <x v="0"/>
  </r>
  <r>
    <x v="803"/>
    <x v="2"/>
    <x v="1"/>
    <x v="1"/>
    <x v="0"/>
  </r>
  <r>
    <x v="804"/>
    <x v="2"/>
    <x v="1"/>
    <x v="1"/>
    <x v="0"/>
  </r>
  <r>
    <x v="805"/>
    <x v="2"/>
    <x v="0"/>
    <x v="1"/>
    <x v="0"/>
  </r>
  <r>
    <x v="806"/>
    <x v="2"/>
    <x v="1"/>
    <x v="0"/>
    <x v="0"/>
  </r>
  <r>
    <x v="807"/>
    <x v="2"/>
    <x v="1"/>
    <x v="0"/>
    <x v="1"/>
  </r>
  <r>
    <x v="808"/>
    <x v="2"/>
    <x v="1"/>
    <x v="1"/>
    <x v="0"/>
  </r>
  <r>
    <x v="809"/>
    <x v="2"/>
    <x v="1"/>
    <x v="1"/>
    <x v="7"/>
  </r>
  <r>
    <x v="810"/>
    <x v="2"/>
    <x v="1"/>
    <x v="1"/>
    <x v="7"/>
  </r>
  <r>
    <x v="811"/>
    <x v="2"/>
    <x v="1"/>
    <x v="0"/>
    <x v="3"/>
  </r>
  <r>
    <x v="812"/>
    <x v="2"/>
    <x v="1"/>
    <x v="1"/>
    <x v="0"/>
  </r>
  <r>
    <x v="813"/>
    <x v="2"/>
    <x v="1"/>
    <x v="1"/>
    <x v="0"/>
  </r>
  <r>
    <x v="814"/>
    <x v="2"/>
    <x v="1"/>
    <x v="1"/>
    <x v="0"/>
  </r>
  <r>
    <x v="815"/>
    <x v="2"/>
    <x v="1"/>
    <x v="1"/>
    <x v="0"/>
  </r>
  <r>
    <x v="816"/>
    <x v="2"/>
    <x v="1"/>
    <x v="1"/>
    <x v="0"/>
  </r>
  <r>
    <x v="817"/>
    <x v="2"/>
    <x v="1"/>
    <x v="1"/>
    <x v="0"/>
  </r>
  <r>
    <x v="818"/>
    <x v="2"/>
    <x v="0"/>
    <x v="0"/>
    <x v="7"/>
  </r>
  <r>
    <x v="819"/>
    <x v="2"/>
    <x v="0"/>
    <x v="0"/>
    <x v="0"/>
  </r>
  <r>
    <x v="820"/>
    <x v="2"/>
    <x v="0"/>
    <x v="1"/>
    <x v="1"/>
  </r>
  <r>
    <x v="821"/>
    <x v="2"/>
    <x v="1"/>
    <x v="1"/>
    <x v="2"/>
  </r>
  <r>
    <x v="822"/>
    <x v="2"/>
    <x v="1"/>
    <x v="1"/>
    <x v="3"/>
  </r>
  <r>
    <x v="823"/>
    <x v="2"/>
    <x v="0"/>
    <x v="0"/>
    <x v="2"/>
  </r>
  <r>
    <x v="824"/>
    <x v="2"/>
    <x v="1"/>
    <x v="1"/>
    <x v="2"/>
  </r>
  <r>
    <x v="825"/>
    <x v="2"/>
    <x v="1"/>
    <x v="1"/>
    <x v="1"/>
  </r>
  <r>
    <x v="826"/>
    <x v="2"/>
    <x v="1"/>
    <x v="1"/>
    <x v="1"/>
  </r>
  <r>
    <x v="827"/>
    <x v="2"/>
    <x v="1"/>
    <x v="1"/>
    <x v="7"/>
  </r>
  <r>
    <x v="828"/>
    <x v="2"/>
    <x v="1"/>
    <x v="0"/>
    <x v="7"/>
  </r>
  <r>
    <x v="829"/>
    <x v="2"/>
    <x v="1"/>
    <x v="0"/>
    <x v="7"/>
  </r>
  <r>
    <x v="830"/>
    <x v="2"/>
    <x v="1"/>
    <x v="1"/>
    <x v="7"/>
  </r>
  <r>
    <x v="831"/>
    <x v="2"/>
    <x v="1"/>
    <x v="1"/>
    <x v="3"/>
  </r>
  <r>
    <x v="832"/>
    <x v="2"/>
    <x v="1"/>
    <x v="0"/>
    <x v="3"/>
  </r>
  <r>
    <x v="833"/>
    <x v="2"/>
    <x v="1"/>
    <x v="1"/>
    <x v="5"/>
  </r>
  <r>
    <x v="834"/>
    <x v="2"/>
    <x v="1"/>
    <x v="1"/>
    <x v="2"/>
  </r>
  <r>
    <x v="835"/>
    <x v="2"/>
    <x v="1"/>
    <x v="1"/>
    <x v="0"/>
  </r>
  <r>
    <x v="836"/>
    <x v="2"/>
    <x v="1"/>
    <x v="1"/>
    <x v="0"/>
  </r>
  <r>
    <x v="837"/>
    <x v="2"/>
    <x v="1"/>
    <x v="1"/>
    <x v="2"/>
  </r>
  <r>
    <x v="838"/>
    <x v="2"/>
    <x v="1"/>
    <x v="1"/>
    <x v="0"/>
  </r>
  <r>
    <x v="839"/>
    <x v="2"/>
    <x v="1"/>
    <x v="1"/>
    <x v="7"/>
  </r>
  <r>
    <x v="840"/>
    <x v="2"/>
    <x v="1"/>
    <x v="0"/>
    <x v="0"/>
  </r>
  <r>
    <x v="841"/>
    <x v="2"/>
    <x v="1"/>
    <x v="0"/>
    <x v="7"/>
  </r>
  <r>
    <x v="842"/>
    <x v="2"/>
    <x v="1"/>
    <x v="1"/>
    <x v="0"/>
  </r>
  <r>
    <x v="843"/>
    <x v="2"/>
    <x v="1"/>
    <x v="1"/>
    <x v="0"/>
  </r>
  <r>
    <x v="844"/>
    <x v="2"/>
    <x v="1"/>
    <x v="1"/>
    <x v="0"/>
  </r>
  <r>
    <x v="845"/>
    <x v="2"/>
    <x v="0"/>
    <x v="0"/>
    <x v="0"/>
  </r>
  <r>
    <x v="846"/>
    <x v="2"/>
    <x v="1"/>
    <x v="1"/>
    <x v="0"/>
  </r>
  <r>
    <x v="847"/>
    <x v="2"/>
    <x v="1"/>
    <x v="1"/>
    <x v="0"/>
  </r>
  <r>
    <x v="848"/>
    <x v="2"/>
    <x v="1"/>
    <x v="1"/>
    <x v="3"/>
  </r>
  <r>
    <x v="849"/>
    <x v="2"/>
    <x v="1"/>
    <x v="1"/>
    <x v="0"/>
  </r>
  <r>
    <x v="850"/>
    <x v="2"/>
    <x v="1"/>
    <x v="1"/>
    <x v="0"/>
  </r>
  <r>
    <x v="851"/>
    <x v="2"/>
    <x v="0"/>
    <x v="0"/>
    <x v="3"/>
  </r>
  <r>
    <x v="852"/>
    <x v="2"/>
    <x v="1"/>
    <x v="0"/>
    <x v="0"/>
  </r>
  <r>
    <x v="853"/>
    <x v="2"/>
    <x v="1"/>
    <x v="1"/>
    <x v="0"/>
  </r>
  <r>
    <x v="854"/>
    <x v="2"/>
    <x v="1"/>
    <x v="1"/>
    <x v="0"/>
  </r>
  <r>
    <x v="855"/>
    <x v="2"/>
    <x v="1"/>
    <x v="1"/>
    <x v="7"/>
  </r>
  <r>
    <x v="856"/>
    <x v="2"/>
    <x v="0"/>
    <x v="0"/>
    <x v="0"/>
  </r>
  <r>
    <x v="857"/>
    <x v="2"/>
    <x v="0"/>
    <x v="1"/>
    <x v="0"/>
  </r>
  <r>
    <x v="858"/>
    <x v="2"/>
    <x v="0"/>
    <x v="1"/>
    <x v="0"/>
  </r>
  <r>
    <x v="859"/>
    <x v="2"/>
    <x v="1"/>
    <x v="0"/>
    <x v="7"/>
  </r>
  <r>
    <x v="860"/>
    <x v="2"/>
    <x v="0"/>
    <x v="0"/>
    <x v="0"/>
  </r>
  <r>
    <x v="861"/>
    <x v="2"/>
    <x v="1"/>
    <x v="0"/>
    <x v="0"/>
  </r>
  <r>
    <x v="862"/>
    <x v="2"/>
    <x v="0"/>
    <x v="0"/>
    <x v="0"/>
  </r>
  <r>
    <x v="863"/>
    <x v="2"/>
    <x v="1"/>
    <x v="1"/>
    <x v="0"/>
  </r>
  <r>
    <x v="864"/>
    <x v="2"/>
    <x v="1"/>
    <x v="0"/>
    <x v="0"/>
  </r>
  <r>
    <x v="865"/>
    <x v="2"/>
    <x v="1"/>
    <x v="0"/>
    <x v="0"/>
  </r>
  <r>
    <x v="866"/>
    <x v="2"/>
    <x v="0"/>
    <x v="0"/>
    <x v="1"/>
  </r>
  <r>
    <x v="867"/>
    <x v="2"/>
    <x v="0"/>
    <x v="0"/>
    <x v="0"/>
  </r>
  <r>
    <x v="868"/>
    <x v="2"/>
    <x v="1"/>
    <x v="1"/>
    <x v="3"/>
  </r>
  <r>
    <x v="869"/>
    <x v="2"/>
    <x v="1"/>
    <x v="1"/>
    <x v="0"/>
  </r>
  <r>
    <x v="870"/>
    <x v="2"/>
    <x v="0"/>
    <x v="0"/>
    <x v="0"/>
  </r>
  <r>
    <x v="871"/>
    <x v="2"/>
    <x v="1"/>
    <x v="1"/>
    <x v="0"/>
  </r>
  <r>
    <x v="872"/>
    <x v="2"/>
    <x v="0"/>
    <x v="0"/>
    <x v="0"/>
  </r>
  <r>
    <x v="873"/>
    <x v="2"/>
    <x v="1"/>
    <x v="1"/>
    <x v="3"/>
  </r>
  <r>
    <x v="874"/>
    <x v="2"/>
    <x v="0"/>
    <x v="1"/>
    <x v="0"/>
  </r>
  <r>
    <x v="875"/>
    <x v="2"/>
    <x v="1"/>
    <x v="1"/>
    <x v="2"/>
  </r>
  <r>
    <x v="876"/>
    <x v="2"/>
    <x v="1"/>
    <x v="1"/>
    <x v="0"/>
  </r>
  <r>
    <x v="877"/>
    <x v="2"/>
    <x v="1"/>
    <x v="0"/>
    <x v="0"/>
  </r>
  <r>
    <x v="878"/>
    <x v="2"/>
    <x v="1"/>
    <x v="0"/>
    <x v="0"/>
  </r>
  <r>
    <x v="879"/>
    <x v="2"/>
    <x v="1"/>
    <x v="1"/>
    <x v="0"/>
  </r>
  <r>
    <x v="880"/>
    <x v="2"/>
    <x v="0"/>
    <x v="1"/>
    <x v="0"/>
  </r>
  <r>
    <x v="881"/>
    <x v="2"/>
    <x v="0"/>
    <x v="1"/>
    <x v="0"/>
  </r>
  <r>
    <x v="882"/>
    <x v="2"/>
    <x v="1"/>
    <x v="1"/>
    <x v="0"/>
  </r>
  <r>
    <x v="883"/>
    <x v="2"/>
    <x v="1"/>
    <x v="1"/>
    <x v="0"/>
  </r>
  <r>
    <x v="884"/>
    <x v="2"/>
    <x v="1"/>
    <x v="1"/>
    <x v="3"/>
  </r>
  <r>
    <x v="885"/>
    <x v="2"/>
    <x v="1"/>
    <x v="1"/>
    <x v="7"/>
  </r>
  <r>
    <x v="886"/>
    <x v="2"/>
    <x v="0"/>
    <x v="0"/>
    <x v="0"/>
  </r>
  <r>
    <x v="887"/>
    <x v="2"/>
    <x v="0"/>
    <x v="1"/>
    <x v="0"/>
  </r>
  <r>
    <x v="888"/>
    <x v="2"/>
    <x v="1"/>
    <x v="1"/>
    <x v="2"/>
  </r>
  <r>
    <x v="889"/>
    <x v="2"/>
    <x v="0"/>
    <x v="1"/>
    <x v="0"/>
  </r>
  <r>
    <x v="890"/>
    <x v="2"/>
    <x v="1"/>
    <x v="1"/>
    <x v="0"/>
  </r>
  <r>
    <x v="891"/>
    <x v="2"/>
    <x v="1"/>
    <x v="1"/>
    <x v="2"/>
  </r>
  <r>
    <x v="892"/>
    <x v="2"/>
    <x v="1"/>
    <x v="1"/>
    <x v="2"/>
  </r>
  <r>
    <x v="893"/>
    <x v="2"/>
    <x v="1"/>
    <x v="1"/>
    <x v="0"/>
  </r>
  <r>
    <x v="894"/>
    <x v="2"/>
    <x v="0"/>
    <x v="1"/>
    <x v="1"/>
  </r>
  <r>
    <x v="895"/>
    <x v="2"/>
    <x v="0"/>
    <x v="0"/>
    <x v="1"/>
  </r>
  <r>
    <x v="896"/>
    <x v="2"/>
    <x v="1"/>
    <x v="1"/>
    <x v="3"/>
  </r>
  <r>
    <x v="897"/>
    <x v="2"/>
    <x v="1"/>
    <x v="1"/>
    <x v="2"/>
  </r>
  <r>
    <x v="898"/>
    <x v="2"/>
    <x v="1"/>
    <x v="1"/>
    <x v="7"/>
  </r>
  <r>
    <x v="899"/>
    <x v="2"/>
    <x v="0"/>
    <x v="0"/>
    <x v="0"/>
  </r>
  <r>
    <x v="900"/>
    <x v="2"/>
    <x v="1"/>
    <x v="1"/>
    <x v="0"/>
  </r>
  <r>
    <x v="901"/>
    <x v="2"/>
    <x v="1"/>
    <x v="0"/>
    <x v="0"/>
  </r>
  <r>
    <x v="902"/>
    <x v="2"/>
    <x v="1"/>
    <x v="1"/>
    <x v="0"/>
  </r>
  <r>
    <x v="903"/>
    <x v="2"/>
    <x v="1"/>
    <x v="0"/>
    <x v="0"/>
  </r>
  <r>
    <x v="904"/>
    <x v="2"/>
    <x v="1"/>
    <x v="1"/>
    <x v="0"/>
  </r>
  <r>
    <x v="905"/>
    <x v="2"/>
    <x v="0"/>
    <x v="1"/>
    <x v="2"/>
  </r>
  <r>
    <x v="906"/>
    <x v="2"/>
    <x v="1"/>
    <x v="1"/>
    <x v="0"/>
  </r>
  <r>
    <x v="907"/>
    <x v="2"/>
    <x v="1"/>
    <x v="0"/>
    <x v="0"/>
  </r>
  <r>
    <x v="908"/>
    <x v="2"/>
    <x v="1"/>
    <x v="0"/>
    <x v="0"/>
  </r>
  <r>
    <x v="909"/>
    <x v="2"/>
    <x v="0"/>
    <x v="1"/>
    <x v="2"/>
  </r>
  <r>
    <x v="910"/>
    <x v="2"/>
    <x v="1"/>
    <x v="1"/>
    <x v="7"/>
  </r>
  <r>
    <x v="911"/>
    <x v="2"/>
    <x v="1"/>
    <x v="1"/>
    <x v="0"/>
  </r>
  <r>
    <x v="912"/>
    <x v="2"/>
    <x v="1"/>
    <x v="1"/>
    <x v="2"/>
  </r>
  <r>
    <x v="913"/>
    <x v="2"/>
    <x v="0"/>
    <x v="1"/>
    <x v="0"/>
  </r>
  <r>
    <x v="914"/>
    <x v="2"/>
    <x v="1"/>
    <x v="1"/>
    <x v="2"/>
  </r>
  <r>
    <x v="915"/>
    <x v="2"/>
    <x v="1"/>
    <x v="1"/>
    <x v="0"/>
  </r>
  <r>
    <x v="916"/>
    <x v="2"/>
    <x v="0"/>
    <x v="0"/>
    <x v="1"/>
  </r>
  <r>
    <x v="917"/>
    <x v="2"/>
    <x v="0"/>
    <x v="1"/>
    <x v="2"/>
  </r>
  <r>
    <x v="918"/>
    <x v="2"/>
    <x v="1"/>
    <x v="1"/>
    <x v="0"/>
  </r>
  <r>
    <x v="919"/>
    <x v="2"/>
    <x v="1"/>
    <x v="1"/>
    <x v="7"/>
  </r>
  <r>
    <x v="920"/>
    <x v="2"/>
    <x v="1"/>
    <x v="1"/>
    <x v="0"/>
  </r>
  <r>
    <x v="921"/>
    <x v="2"/>
    <x v="1"/>
    <x v="1"/>
    <x v="0"/>
  </r>
  <r>
    <x v="922"/>
    <x v="2"/>
    <x v="0"/>
    <x v="0"/>
    <x v="0"/>
  </r>
  <r>
    <x v="923"/>
    <x v="2"/>
    <x v="0"/>
    <x v="0"/>
    <x v="0"/>
  </r>
  <r>
    <x v="924"/>
    <x v="2"/>
    <x v="1"/>
    <x v="1"/>
    <x v="2"/>
  </r>
  <r>
    <x v="925"/>
    <x v="2"/>
    <x v="1"/>
    <x v="1"/>
    <x v="3"/>
  </r>
  <r>
    <x v="926"/>
    <x v="2"/>
    <x v="0"/>
    <x v="1"/>
    <x v="0"/>
  </r>
  <r>
    <x v="927"/>
    <x v="2"/>
    <x v="1"/>
    <x v="1"/>
    <x v="0"/>
  </r>
  <r>
    <x v="928"/>
    <x v="2"/>
    <x v="1"/>
    <x v="0"/>
    <x v="0"/>
  </r>
  <r>
    <x v="929"/>
    <x v="2"/>
    <x v="1"/>
    <x v="1"/>
    <x v="0"/>
  </r>
  <r>
    <x v="930"/>
    <x v="2"/>
    <x v="1"/>
    <x v="1"/>
    <x v="0"/>
  </r>
  <r>
    <x v="931"/>
    <x v="2"/>
    <x v="1"/>
    <x v="1"/>
    <x v="0"/>
  </r>
  <r>
    <x v="932"/>
    <x v="2"/>
    <x v="1"/>
    <x v="0"/>
    <x v="0"/>
  </r>
  <r>
    <x v="933"/>
    <x v="2"/>
    <x v="1"/>
    <x v="1"/>
    <x v="0"/>
  </r>
  <r>
    <x v="934"/>
    <x v="2"/>
    <x v="0"/>
    <x v="0"/>
    <x v="1"/>
  </r>
  <r>
    <x v="935"/>
    <x v="2"/>
    <x v="0"/>
    <x v="1"/>
    <x v="0"/>
  </r>
  <r>
    <x v="936"/>
    <x v="2"/>
    <x v="0"/>
    <x v="0"/>
    <x v="0"/>
  </r>
  <r>
    <x v="937"/>
    <x v="2"/>
    <x v="1"/>
    <x v="0"/>
    <x v="1"/>
  </r>
  <r>
    <x v="938"/>
    <x v="2"/>
    <x v="1"/>
    <x v="1"/>
    <x v="7"/>
  </r>
  <r>
    <x v="939"/>
    <x v="2"/>
    <x v="1"/>
    <x v="0"/>
    <x v="2"/>
  </r>
  <r>
    <x v="940"/>
    <x v="2"/>
    <x v="1"/>
    <x v="1"/>
    <x v="0"/>
  </r>
  <r>
    <x v="941"/>
    <x v="2"/>
    <x v="0"/>
    <x v="1"/>
    <x v="0"/>
  </r>
  <r>
    <x v="942"/>
    <x v="2"/>
    <x v="1"/>
    <x v="1"/>
    <x v="0"/>
  </r>
  <r>
    <x v="943"/>
    <x v="2"/>
    <x v="1"/>
    <x v="0"/>
    <x v="2"/>
  </r>
  <r>
    <x v="944"/>
    <x v="2"/>
    <x v="1"/>
    <x v="1"/>
    <x v="0"/>
  </r>
  <r>
    <x v="945"/>
    <x v="2"/>
    <x v="0"/>
    <x v="1"/>
    <x v="0"/>
  </r>
  <r>
    <x v="946"/>
    <x v="2"/>
    <x v="1"/>
    <x v="1"/>
    <x v="0"/>
  </r>
  <r>
    <x v="947"/>
    <x v="2"/>
    <x v="0"/>
    <x v="0"/>
    <x v="0"/>
  </r>
  <r>
    <x v="948"/>
    <x v="2"/>
    <x v="1"/>
    <x v="1"/>
    <x v="0"/>
  </r>
  <r>
    <x v="949"/>
    <x v="2"/>
    <x v="0"/>
    <x v="1"/>
    <x v="0"/>
  </r>
  <r>
    <x v="950"/>
    <x v="2"/>
    <x v="1"/>
    <x v="1"/>
    <x v="0"/>
  </r>
  <r>
    <x v="951"/>
    <x v="2"/>
    <x v="1"/>
    <x v="1"/>
    <x v="0"/>
  </r>
  <r>
    <x v="952"/>
    <x v="2"/>
    <x v="1"/>
    <x v="1"/>
    <x v="0"/>
  </r>
  <r>
    <x v="953"/>
    <x v="2"/>
    <x v="0"/>
    <x v="1"/>
    <x v="0"/>
  </r>
  <r>
    <x v="954"/>
    <x v="2"/>
    <x v="1"/>
    <x v="1"/>
    <x v="0"/>
  </r>
  <r>
    <x v="955"/>
    <x v="2"/>
    <x v="1"/>
    <x v="0"/>
    <x v="0"/>
  </r>
  <r>
    <x v="956"/>
    <x v="2"/>
    <x v="1"/>
    <x v="0"/>
    <x v="0"/>
  </r>
  <r>
    <x v="957"/>
    <x v="2"/>
    <x v="1"/>
    <x v="0"/>
    <x v="0"/>
  </r>
  <r>
    <x v="958"/>
    <x v="2"/>
    <x v="1"/>
    <x v="0"/>
    <x v="0"/>
  </r>
  <r>
    <x v="959"/>
    <x v="2"/>
    <x v="1"/>
    <x v="1"/>
    <x v="2"/>
  </r>
  <r>
    <x v="960"/>
    <x v="2"/>
    <x v="1"/>
    <x v="1"/>
    <x v="2"/>
  </r>
  <r>
    <x v="961"/>
    <x v="2"/>
    <x v="1"/>
    <x v="0"/>
    <x v="0"/>
  </r>
  <r>
    <x v="962"/>
    <x v="2"/>
    <x v="1"/>
    <x v="1"/>
    <x v="0"/>
  </r>
  <r>
    <x v="963"/>
    <x v="2"/>
    <x v="1"/>
    <x v="1"/>
    <x v="2"/>
  </r>
  <r>
    <x v="964"/>
    <x v="2"/>
    <x v="1"/>
    <x v="1"/>
    <x v="2"/>
  </r>
  <r>
    <x v="965"/>
    <x v="2"/>
    <x v="1"/>
    <x v="1"/>
    <x v="0"/>
  </r>
  <r>
    <x v="966"/>
    <x v="2"/>
    <x v="1"/>
    <x v="0"/>
    <x v="0"/>
  </r>
  <r>
    <x v="967"/>
    <x v="2"/>
    <x v="1"/>
    <x v="0"/>
    <x v="3"/>
  </r>
  <r>
    <x v="968"/>
    <x v="2"/>
    <x v="1"/>
    <x v="1"/>
    <x v="2"/>
  </r>
  <r>
    <x v="969"/>
    <x v="2"/>
    <x v="1"/>
    <x v="0"/>
    <x v="2"/>
  </r>
  <r>
    <x v="970"/>
    <x v="2"/>
    <x v="0"/>
    <x v="1"/>
    <x v="0"/>
  </r>
  <r>
    <x v="971"/>
    <x v="2"/>
    <x v="1"/>
    <x v="1"/>
    <x v="0"/>
  </r>
  <r>
    <x v="972"/>
    <x v="2"/>
    <x v="1"/>
    <x v="1"/>
    <x v="0"/>
  </r>
  <r>
    <x v="973"/>
    <x v="2"/>
    <x v="1"/>
    <x v="1"/>
    <x v="0"/>
  </r>
  <r>
    <x v="974"/>
    <x v="2"/>
    <x v="1"/>
    <x v="1"/>
    <x v="2"/>
  </r>
  <r>
    <x v="975"/>
    <x v="2"/>
    <x v="1"/>
    <x v="0"/>
    <x v="0"/>
  </r>
  <r>
    <x v="976"/>
    <x v="2"/>
    <x v="1"/>
    <x v="1"/>
    <x v="0"/>
  </r>
  <r>
    <x v="977"/>
    <x v="2"/>
    <x v="1"/>
    <x v="1"/>
    <x v="0"/>
  </r>
  <r>
    <x v="978"/>
    <x v="2"/>
    <x v="0"/>
    <x v="1"/>
    <x v="0"/>
  </r>
  <r>
    <x v="979"/>
    <x v="2"/>
    <x v="1"/>
    <x v="1"/>
    <x v="5"/>
  </r>
  <r>
    <x v="980"/>
    <x v="2"/>
    <x v="0"/>
    <x v="0"/>
    <x v="0"/>
  </r>
  <r>
    <x v="981"/>
    <x v="2"/>
    <x v="0"/>
    <x v="1"/>
    <x v="2"/>
  </r>
  <r>
    <x v="982"/>
    <x v="2"/>
    <x v="1"/>
    <x v="1"/>
    <x v="0"/>
  </r>
  <r>
    <x v="983"/>
    <x v="2"/>
    <x v="1"/>
    <x v="1"/>
    <x v="0"/>
  </r>
  <r>
    <x v="984"/>
    <x v="2"/>
    <x v="0"/>
    <x v="0"/>
    <x v="0"/>
  </r>
  <r>
    <x v="985"/>
    <x v="2"/>
    <x v="0"/>
    <x v="1"/>
    <x v="0"/>
  </r>
  <r>
    <x v="986"/>
    <x v="2"/>
    <x v="1"/>
    <x v="1"/>
    <x v="0"/>
  </r>
  <r>
    <x v="987"/>
    <x v="2"/>
    <x v="1"/>
    <x v="0"/>
    <x v="0"/>
  </r>
  <r>
    <x v="988"/>
    <x v="2"/>
    <x v="1"/>
    <x v="1"/>
    <x v="0"/>
  </r>
  <r>
    <x v="989"/>
    <x v="2"/>
    <x v="1"/>
    <x v="1"/>
    <x v="0"/>
  </r>
  <r>
    <x v="990"/>
    <x v="2"/>
    <x v="1"/>
    <x v="1"/>
    <x v="0"/>
  </r>
  <r>
    <x v="991"/>
    <x v="2"/>
    <x v="0"/>
    <x v="1"/>
    <x v="0"/>
  </r>
  <r>
    <x v="992"/>
    <x v="2"/>
    <x v="1"/>
    <x v="0"/>
    <x v="2"/>
  </r>
  <r>
    <x v="993"/>
    <x v="2"/>
    <x v="0"/>
    <x v="0"/>
    <x v="0"/>
  </r>
  <r>
    <x v="994"/>
    <x v="2"/>
    <x v="1"/>
    <x v="1"/>
    <x v="0"/>
  </r>
  <r>
    <x v="995"/>
    <x v="2"/>
    <x v="1"/>
    <x v="1"/>
    <x v="2"/>
  </r>
  <r>
    <x v="996"/>
    <x v="2"/>
    <x v="1"/>
    <x v="1"/>
    <x v="2"/>
  </r>
  <r>
    <x v="997"/>
    <x v="2"/>
    <x v="0"/>
    <x v="0"/>
    <x v="0"/>
  </r>
  <r>
    <x v="998"/>
    <x v="2"/>
    <x v="1"/>
    <x v="1"/>
    <x v="0"/>
  </r>
  <r>
    <x v="999"/>
    <x v="2"/>
    <x v="0"/>
    <x v="0"/>
    <x v="0"/>
  </r>
  <r>
    <x v="1000"/>
    <x v="2"/>
    <x v="0"/>
    <x v="1"/>
    <x v="0"/>
  </r>
  <r>
    <x v="1001"/>
    <x v="2"/>
    <x v="0"/>
    <x v="0"/>
    <x v="0"/>
  </r>
  <r>
    <x v="1002"/>
    <x v="2"/>
    <x v="0"/>
    <x v="0"/>
    <x v="0"/>
  </r>
  <r>
    <x v="1003"/>
    <x v="2"/>
    <x v="0"/>
    <x v="1"/>
    <x v="0"/>
  </r>
  <r>
    <x v="1004"/>
    <x v="2"/>
    <x v="0"/>
    <x v="0"/>
    <x v="0"/>
  </r>
  <r>
    <x v="1005"/>
    <x v="2"/>
    <x v="1"/>
    <x v="1"/>
    <x v="0"/>
  </r>
  <r>
    <x v="1006"/>
    <x v="2"/>
    <x v="0"/>
    <x v="0"/>
    <x v="0"/>
  </r>
  <r>
    <x v="1007"/>
    <x v="2"/>
    <x v="0"/>
    <x v="0"/>
    <x v="7"/>
  </r>
  <r>
    <x v="1008"/>
    <x v="2"/>
    <x v="1"/>
    <x v="0"/>
    <x v="2"/>
  </r>
  <r>
    <x v="1009"/>
    <x v="2"/>
    <x v="1"/>
    <x v="1"/>
    <x v="0"/>
  </r>
  <r>
    <x v="1010"/>
    <x v="2"/>
    <x v="1"/>
    <x v="1"/>
    <x v="0"/>
  </r>
  <r>
    <x v="1011"/>
    <x v="2"/>
    <x v="1"/>
    <x v="0"/>
    <x v="7"/>
  </r>
  <r>
    <x v="1012"/>
    <x v="2"/>
    <x v="1"/>
    <x v="0"/>
    <x v="0"/>
  </r>
  <r>
    <x v="1013"/>
    <x v="2"/>
    <x v="1"/>
    <x v="0"/>
    <x v="0"/>
  </r>
  <r>
    <x v="1014"/>
    <x v="2"/>
    <x v="1"/>
    <x v="0"/>
    <x v="0"/>
  </r>
  <r>
    <x v="1015"/>
    <x v="2"/>
    <x v="1"/>
    <x v="1"/>
    <x v="5"/>
  </r>
  <r>
    <x v="1016"/>
    <x v="2"/>
    <x v="1"/>
    <x v="1"/>
    <x v="0"/>
  </r>
  <r>
    <x v="1017"/>
    <x v="2"/>
    <x v="0"/>
    <x v="1"/>
    <x v="0"/>
  </r>
  <r>
    <x v="1018"/>
    <x v="2"/>
    <x v="1"/>
    <x v="1"/>
    <x v="0"/>
  </r>
  <r>
    <x v="1019"/>
    <x v="2"/>
    <x v="1"/>
    <x v="1"/>
    <x v="0"/>
  </r>
  <r>
    <x v="1020"/>
    <x v="2"/>
    <x v="1"/>
    <x v="1"/>
    <x v="0"/>
  </r>
  <r>
    <x v="1021"/>
    <x v="2"/>
    <x v="1"/>
    <x v="1"/>
    <x v="0"/>
  </r>
  <r>
    <x v="1022"/>
    <x v="2"/>
    <x v="1"/>
    <x v="1"/>
    <x v="0"/>
  </r>
  <r>
    <x v="1023"/>
    <x v="2"/>
    <x v="0"/>
    <x v="0"/>
    <x v="0"/>
  </r>
  <r>
    <x v="1024"/>
    <x v="2"/>
    <x v="1"/>
    <x v="1"/>
    <x v="0"/>
  </r>
  <r>
    <x v="1025"/>
    <x v="2"/>
    <x v="0"/>
    <x v="1"/>
    <x v="1"/>
  </r>
  <r>
    <x v="1026"/>
    <x v="2"/>
    <x v="0"/>
    <x v="0"/>
    <x v="0"/>
  </r>
  <r>
    <x v="1027"/>
    <x v="2"/>
    <x v="1"/>
    <x v="1"/>
    <x v="0"/>
  </r>
  <r>
    <x v="1028"/>
    <x v="2"/>
    <x v="0"/>
    <x v="0"/>
    <x v="0"/>
  </r>
  <r>
    <x v="1029"/>
    <x v="2"/>
    <x v="1"/>
    <x v="1"/>
    <x v="0"/>
  </r>
  <r>
    <x v="1030"/>
    <x v="2"/>
    <x v="1"/>
    <x v="1"/>
    <x v="0"/>
  </r>
  <r>
    <x v="1031"/>
    <x v="2"/>
    <x v="1"/>
    <x v="1"/>
    <x v="2"/>
  </r>
  <r>
    <x v="1032"/>
    <x v="2"/>
    <x v="1"/>
    <x v="1"/>
    <x v="0"/>
  </r>
  <r>
    <x v="1033"/>
    <x v="2"/>
    <x v="0"/>
    <x v="1"/>
    <x v="0"/>
  </r>
  <r>
    <x v="1034"/>
    <x v="2"/>
    <x v="0"/>
    <x v="1"/>
    <x v="0"/>
  </r>
  <r>
    <x v="1035"/>
    <x v="2"/>
    <x v="0"/>
    <x v="1"/>
    <x v="0"/>
  </r>
  <r>
    <x v="1036"/>
    <x v="2"/>
    <x v="0"/>
    <x v="0"/>
    <x v="0"/>
  </r>
  <r>
    <x v="1037"/>
    <x v="2"/>
    <x v="0"/>
    <x v="0"/>
    <x v="0"/>
  </r>
  <r>
    <x v="1038"/>
    <x v="2"/>
    <x v="1"/>
    <x v="1"/>
    <x v="0"/>
  </r>
  <r>
    <x v="1039"/>
    <x v="2"/>
    <x v="0"/>
    <x v="0"/>
    <x v="0"/>
  </r>
  <r>
    <x v="1040"/>
    <x v="2"/>
    <x v="0"/>
    <x v="0"/>
    <x v="0"/>
  </r>
  <r>
    <x v="1041"/>
    <x v="2"/>
    <x v="1"/>
    <x v="1"/>
    <x v="0"/>
  </r>
  <r>
    <x v="1042"/>
    <x v="2"/>
    <x v="0"/>
    <x v="0"/>
    <x v="0"/>
  </r>
  <r>
    <x v="1043"/>
    <x v="2"/>
    <x v="0"/>
    <x v="0"/>
    <x v="0"/>
  </r>
  <r>
    <x v="1044"/>
    <x v="2"/>
    <x v="0"/>
    <x v="0"/>
    <x v="0"/>
  </r>
  <r>
    <x v="1045"/>
    <x v="2"/>
    <x v="1"/>
    <x v="1"/>
    <x v="7"/>
  </r>
  <r>
    <x v="1046"/>
    <x v="2"/>
    <x v="1"/>
    <x v="1"/>
    <x v="0"/>
  </r>
  <r>
    <x v="1047"/>
    <x v="2"/>
    <x v="0"/>
    <x v="0"/>
    <x v="7"/>
  </r>
  <r>
    <x v="1048"/>
    <x v="2"/>
    <x v="0"/>
    <x v="0"/>
    <x v="1"/>
  </r>
  <r>
    <x v="1049"/>
    <x v="2"/>
    <x v="0"/>
    <x v="1"/>
    <x v="0"/>
  </r>
  <r>
    <x v="1050"/>
    <x v="2"/>
    <x v="0"/>
    <x v="0"/>
    <x v="7"/>
  </r>
  <r>
    <x v="1051"/>
    <x v="2"/>
    <x v="1"/>
    <x v="1"/>
    <x v="2"/>
  </r>
  <r>
    <x v="1052"/>
    <x v="2"/>
    <x v="1"/>
    <x v="1"/>
    <x v="0"/>
  </r>
  <r>
    <x v="1053"/>
    <x v="2"/>
    <x v="1"/>
    <x v="1"/>
    <x v="0"/>
  </r>
  <r>
    <x v="1054"/>
    <x v="2"/>
    <x v="1"/>
    <x v="0"/>
    <x v="0"/>
  </r>
  <r>
    <x v="1055"/>
    <x v="2"/>
    <x v="1"/>
    <x v="1"/>
    <x v="0"/>
  </r>
  <r>
    <x v="1056"/>
    <x v="2"/>
    <x v="0"/>
    <x v="1"/>
    <x v="7"/>
  </r>
  <r>
    <x v="1057"/>
    <x v="2"/>
    <x v="0"/>
    <x v="0"/>
    <x v="7"/>
  </r>
  <r>
    <x v="1058"/>
    <x v="2"/>
    <x v="1"/>
    <x v="0"/>
    <x v="0"/>
  </r>
  <r>
    <x v="1059"/>
    <x v="2"/>
    <x v="1"/>
    <x v="1"/>
    <x v="0"/>
  </r>
  <r>
    <x v="1060"/>
    <x v="2"/>
    <x v="0"/>
    <x v="0"/>
    <x v="7"/>
  </r>
  <r>
    <x v="1061"/>
    <x v="2"/>
    <x v="0"/>
    <x v="0"/>
    <x v="0"/>
  </r>
  <r>
    <x v="1062"/>
    <x v="2"/>
    <x v="1"/>
    <x v="1"/>
    <x v="0"/>
  </r>
  <r>
    <x v="1063"/>
    <x v="2"/>
    <x v="1"/>
    <x v="1"/>
    <x v="3"/>
  </r>
  <r>
    <x v="1064"/>
    <x v="2"/>
    <x v="0"/>
    <x v="1"/>
    <x v="2"/>
  </r>
  <r>
    <x v="1065"/>
    <x v="2"/>
    <x v="1"/>
    <x v="1"/>
    <x v="0"/>
  </r>
  <r>
    <x v="1066"/>
    <x v="2"/>
    <x v="1"/>
    <x v="1"/>
    <x v="0"/>
  </r>
  <r>
    <x v="1067"/>
    <x v="2"/>
    <x v="0"/>
    <x v="0"/>
    <x v="0"/>
  </r>
  <r>
    <x v="1068"/>
    <x v="2"/>
    <x v="1"/>
    <x v="1"/>
    <x v="4"/>
  </r>
  <r>
    <x v="1069"/>
    <x v="2"/>
    <x v="1"/>
    <x v="1"/>
    <x v="0"/>
  </r>
  <r>
    <x v="1070"/>
    <x v="2"/>
    <x v="1"/>
    <x v="1"/>
    <x v="0"/>
  </r>
  <r>
    <x v="1071"/>
    <x v="2"/>
    <x v="0"/>
    <x v="0"/>
    <x v="0"/>
  </r>
  <r>
    <x v="1072"/>
    <x v="2"/>
    <x v="1"/>
    <x v="1"/>
    <x v="0"/>
  </r>
  <r>
    <x v="1073"/>
    <x v="2"/>
    <x v="1"/>
    <x v="1"/>
    <x v="0"/>
  </r>
  <r>
    <x v="1074"/>
    <x v="2"/>
    <x v="1"/>
    <x v="1"/>
    <x v="0"/>
  </r>
  <r>
    <x v="1075"/>
    <x v="2"/>
    <x v="1"/>
    <x v="1"/>
    <x v="0"/>
  </r>
  <r>
    <x v="1076"/>
    <x v="2"/>
    <x v="1"/>
    <x v="0"/>
    <x v="0"/>
  </r>
  <r>
    <x v="1077"/>
    <x v="2"/>
    <x v="0"/>
    <x v="0"/>
    <x v="0"/>
  </r>
  <r>
    <x v="1078"/>
    <x v="2"/>
    <x v="0"/>
    <x v="0"/>
    <x v="0"/>
  </r>
  <r>
    <x v="1079"/>
    <x v="2"/>
    <x v="0"/>
    <x v="0"/>
    <x v="0"/>
  </r>
  <r>
    <x v="1080"/>
    <x v="2"/>
    <x v="0"/>
    <x v="1"/>
    <x v="0"/>
  </r>
  <r>
    <x v="1081"/>
    <x v="2"/>
    <x v="0"/>
    <x v="0"/>
    <x v="0"/>
  </r>
  <r>
    <x v="1082"/>
    <x v="2"/>
    <x v="0"/>
    <x v="1"/>
    <x v="1"/>
  </r>
  <r>
    <x v="1083"/>
    <x v="2"/>
    <x v="1"/>
    <x v="1"/>
    <x v="0"/>
  </r>
  <r>
    <x v="1084"/>
    <x v="2"/>
    <x v="1"/>
    <x v="1"/>
    <x v="3"/>
  </r>
  <r>
    <x v="1085"/>
    <x v="2"/>
    <x v="1"/>
    <x v="1"/>
    <x v="0"/>
  </r>
  <r>
    <x v="1086"/>
    <x v="2"/>
    <x v="1"/>
    <x v="0"/>
    <x v="2"/>
  </r>
  <r>
    <x v="1087"/>
    <x v="2"/>
    <x v="1"/>
    <x v="1"/>
    <x v="0"/>
  </r>
  <r>
    <x v="1088"/>
    <x v="2"/>
    <x v="0"/>
    <x v="1"/>
    <x v="2"/>
  </r>
  <r>
    <x v="1089"/>
    <x v="2"/>
    <x v="1"/>
    <x v="1"/>
    <x v="0"/>
  </r>
  <r>
    <x v="1090"/>
    <x v="2"/>
    <x v="1"/>
    <x v="0"/>
    <x v="0"/>
  </r>
  <r>
    <x v="1091"/>
    <x v="2"/>
    <x v="1"/>
    <x v="0"/>
    <x v="0"/>
  </r>
  <r>
    <x v="1092"/>
    <x v="2"/>
    <x v="1"/>
    <x v="1"/>
    <x v="0"/>
  </r>
  <r>
    <x v="1093"/>
    <x v="2"/>
    <x v="1"/>
    <x v="1"/>
    <x v="7"/>
  </r>
  <r>
    <x v="1094"/>
    <x v="2"/>
    <x v="0"/>
    <x v="0"/>
    <x v="2"/>
  </r>
  <r>
    <x v="1095"/>
    <x v="2"/>
    <x v="1"/>
    <x v="0"/>
    <x v="0"/>
  </r>
  <r>
    <x v="1096"/>
    <x v="2"/>
    <x v="1"/>
    <x v="1"/>
    <x v="1"/>
  </r>
  <r>
    <x v="1097"/>
    <x v="2"/>
    <x v="1"/>
    <x v="1"/>
    <x v="1"/>
  </r>
  <r>
    <x v="1098"/>
    <x v="2"/>
    <x v="1"/>
    <x v="0"/>
    <x v="1"/>
  </r>
  <r>
    <x v="1099"/>
    <x v="2"/>
    <x v="1"/>
    <x v="0"/>
    <x v="1"/>
  </r>
  <r>
    <x v="1100"/>
    <x v="2"/>
    <x v="1"/>
    <x v="0"/>
    <x v="0"/>
  </r>
  <r>
    <x v="1101"/>
    <x v="2"/>
    <x v="1"/>
    <x v="1"/>
    <x v="1"/>
  </r>
  <r>
    <x v="1102"/>
    <x v="2"/>
    <x v="1"/>
    <x v="1"/>
    <x v="1"/>
  </r>
  <r>
    <x v="1103"/>
    <x v="2"/>
    <x v="1"/>
    <x v="1"/>
    <x v="1"/>
  </r>
  <r>
    <x v="1104"/>
    <x v="2"/>
    <x v="1"/>
    <x v="1"/>
    <x v="7"/>
  </r>
  <r>
    <x v="1105"/>
    <x v="2"/>
    <x v="1"/>
    <x v="1"/>
    <x v="7"/>
  </r>
  <r>
    <x v="1106"/>
    <x v="2"/>
    <x v="1"/>
    <x v="0"/>
    <x v="3"/>
  </r>
  <r>
    <x v="1107"/>
    <x v="2"/>
    <x v="1"/>
    <x v="1"/>
    <x v="0"/>
  </r>
  <r>
    <x v="1108"/>
    <x v="2"/>
    <x v="1"/>
    <x v="1"/>
    <x v="7"/>
  </r>
  <r>
    <x v="1109"/>
    <x v="2"/>
    <x v="1"/>
    <x v="1"/>
    <x v="0"/>
  </r>
  <r>
    <x v="1110"/>
    <x v="2"/>
    <x v="1"/>
    <x v="1"/>
    <x v="2"/>
  </r>
  <r>
    <x v="1111"/>
    <x v="2"/>
    <x v="1"/>
    <x v="1"/>
    <x v="1"/>
  </r>
  <r>
    <x v="1112"/>
    <x v="2"/>
    <x v="1"/>
    <x v="0"/>
    <x v="1"/>
  </r>
  <r>
    <x v="1113"/>
    <x v="2"/>
    <x v="1"/>
    <x v="0"/>
    <x v="0"/>
  </r>
  <r>
    <x v="1114"/>
    <x v="2"/>
    <x v="1"/>
    <x v="1"/>
    <x v="0"/>
  </r>
  <r>
    <x v="1115"/>
    <x v="2"/>
    <x v="1"/>
    <x v="1"/>
    <x v="0"/>
  </r>
  <r>
    <x v="1116"/>
    <x v="2"/>
    <x v="1"/>
    <x v="1"/>
    <x v="0"/>
  </r>
  <r>
    <x v="1117"/>
    <x v="2"/>
    <x v="1"/>
    <x v="1"/>
    <x v="0"/>
  </r>
  <r>
    <x v="1118"/>
    <x v="2"/>
    <x v="1"/>
    <x v="1"/>
    <x v="0"/>
  </r>
  <r>
    <x v="1119"/>
    <x v="2"/>
    <x v="1"/>
    <x v="1"/>
    <x v="0"/>
  </r>
  <r>
    <x v="1120"/>
    <x v="2"/>
    <x v="0"/>
    <x v="1"/>
    <x v="0"/>
  </r>
  <r>
    <x v="1121"/>
    <x v="2"/>
    <x v="0"/>
    <x v="1"/>
    <x v="0"/>
  </r>
  <r>
    <x v="1122"/>
    <x v="2"/>
    <x v="0"/>
    <x v="0"/>
    <x v="0"/>
  </r>
  <r>
    <x v="1123"/>
    <x v="2"/>
    <x v="0"/>
    <x v="0"/>
    <x v="0"/>
  </r>
  <r>
    <x v="1124"/>
    <x v="2"/>
    <x v="1"/>
    <x v="0"/>
    <x v="0"/>
  </r>
  <r>
    <x v="1125"/>
    <x v="2"/>
    <x v="1"/>
    <x v="1"/>
    <x v="0"/>
  </r>
  <r>
    <x v="1126"/>
    <x v="2"/>
    <x v="1"/>
    <x v="0"/>
    <x v="0"/>
  </r>
  <r>
    <x v="1127"/>
    <x v="2"/>
    <x v="1"/>
    <x v="1"/>
    <x v="7"/>
  </r>
  <r>
    <x v="1128"/>
    <x v="2"/>
    <x v="1"/>
    <x v="1"/>
    <x v="0"/>
  </r>
  <r>
    <x v="1129"/>
    <x v="2"/>
    <x v="1"/>
    <x v="1"/>
    <x v="0"/>
  </r>
  <r>
    <x v="1130"/>
    <x v="2"/>
    <x v="1"/>
    <x v="0"/>
    <x v="7"/>
  </r>
  <r>
    <x v="1131"/>
    <x v="2"/>
    <x v="0"/>
    <x v="1"/>
    <x v="2"/>
  </r>
  <r>
    <x v="1132"/>
    <x v="2"/>
    <x v="1"/>
    <x v="1"/>
    <x v="0"/>
  </r>
  <r>
    <x v="1133"/>
    <x v="2"/>
    <x v="1"/>
    <x v="1"/>
    <x v="7"/>
  </r>
  <r>
    <x v="1134"/>
    <x v="2"/>
    <x v="1"/>
    <x v="1"/>
    <x v="0"/>
  </r>
  <r>
    <x v="1135"/>
    <x v="2"/>
    <x v="1"/>
    <x v="1"/>
    <x v="0"/>
  </r>
  <r>
    <x v="1136"/>
    <x v="2"/>
    <x v="1"/>
    <x v="0"/>
    <x v="0"/>
  </r>
  <r>
    <x v="1137"/>
    <x v="2"/>
    <x v="1"/>
    <x v="1"/>
    <x v="0"/>
  </r>
  <r>
    <x v="1138"/>
    <x v="2"/>
    <x v="1"/>
    <x v="1"/>
    <x v="0"/>
  </r>
  <r>
    <x v="1139"/>
    <x v="2"/>
    <x v="1"/>
    <x v="1"/>
    <x v="2"/>
  </r>
  <r>
    <x v="1140"/>
    <x v="2"/>
    <x v="1"/>
    <x v="1"/>
    <x v="0"/>
  </r>
  <r>
    <x v="1141"/>
    <x v="2"/>
    <x v="1"/>
    <x v="1"/>
    <x v="7"/>
  </r>
  <r>
    <x v="1142"/>
    <x v="2"/>
    <x v="1"/>
    <x v="1"/>
    <x v="1"/>
  </r>
  <r>
    <x v="1143"/>
    <x v="2"/>
    <x v="1"/>
    <x v="1"/>
    <x v="1"/>
  </r>
  <r>
    <x v="1144"/>
    <x v="2"/>
    <x v="1"/>
    <x v="1"/>
    <x v="1"/>
  </r>
  <r>
    <x v="1145"/>
    <x v="2"/>
    <x v="1"/>
    <x v="1"/>
    <x v="1"/>
  </r>
  <r>
    <x v="1146"/>
    <x v="2"/>
    <x v="1"/>
    <x v="0"/>
    <x v="2"/>
  </r>
  <r>
    <x v="1147"/>
    <x v="2"/>
    <x v="1"/>
    <x v="0"/>
    <x v="0"/>
  </r>
  <r>
    <x v="1148"/>
    <x v="2"/>
    <x v="1"/>
    <x v="1"/>
    <x v="2"/>
  </r>
  <r>
    <x v="1149"/>
    <x v="2"/>
    <x v="0"/>
    <x v="0"/>
    <x v="0"/>
  </r>
  <r>
    <x v="1150"/>
    <x v="2"/>
    <x v="1"/>
    <x v="1"/>
    <x v="0"/>
  </r>
  <r>
    <x v="1151"/>
    <x v="2"/>
    <x v="1"/>
    <x v="0"/>
    <x v="0"/>
  </r>
  <r>
    <x v="1152"/>
    <x v="2"/>
    <x v="1"/>
    <x v="1"/>
    <x v="5"/>
  </r>
  <r>
    <x v="1153"/>
    <x v="2"/>
    <x v="1"/>
    <x v="0"/>
    <x v="3"/>
  </r>
  <r>
    <x v="1154"/>
    <x v="2"/>
    <x v="1"/>
    <x v="1"/>
    <x v="0"/>
  </r>
  <r>
    <x v="1155"/>
    <x v="2"/>
    <x v="1"/>
    <x v="1"/>
    <x v="0"/>
  </r>
  <r>
    <x v="1156"/>
    <x v="2"/>
    <x v="1"/>
    <x v="0"/>
    <x v="1"/>
  </r>
  <r>
    <x v="1157"/>
    <x v="2"/>
    <x v="1"/>
    <x v="1"/>
    <x v="7"/>
  </r>
  <r>
    <x v="1158"/>
    <x v="2"/>
    <x v="1"/>
    <x v="0"/>
    <x v="3"/>
  </r>
  <r>
    <x v="1159"/>
    <x v="2"/>
    <x v="0"/>
    <x v="0"/>
    <x v="0"/>
  </r>
  <r>
    <x v="1160"/>
    <x v="2"/>
    <x v="1"/>
    <x v="1"/>
    <x v="5"/>
  </r>
  <r>
    <x v="1161"/>
    <x v="2"/>
    <x v="1"/>
    <x v="1"/>
    <x v="7"/>
  </r>
  <r>
    <x v="1162"/>
    <x v="2"/>
    <x v="0"/>
    <x v="1"/>
    <x v="0"/>
  </r>
  <r>
    <x v="1163"/>
    <x v="2"/>
    <x v="1"/>
    <x v="1"/>
    <x v="0"/>
  </r>
  <r>
    <x v="1164"/>
    <x v="2"/>
    <x v="1"/>
    <x v="1"/>
    <x v="0"/>
  </r>
  <r>
    <x v="1165"/>
    <x v="2"/>
    <x v="1"/>
    <x v="1"/>
    <x v="0"/>
  </r>
  <r>
    <x v="1166"/>
    <x v="2"/>
    <x v="1"/>
    <x v="1"/>
    <x v="0"/>
  </r>
  <r>
    <x v="1167"/>
    <x v="2"/>
    <x v="1"/>
    <x v="1"/>
    <x v="0"/>
  </r>
  <r>
    <x v="1168"/>
    <x v="2"/>
    <x v="1"/>
    <x v="1"/>
    <x v="0"/>
  </r>
  <r>
    <x v="1169"/>
    <x v="2"/>
    <x v="1"/>
    <x v="1"/>
    <x v="2"/>
  </r>
  <r>
    <x v="1170"/>
    <x v="2"/>
    <x v="1"/>
    <x v="1"/>
    <x v="0"/>
  </r>
  <r>
    <x v="1171"/>
    <x v="2"/>
    <x v="1"/>
    <x v="1"/>
    <x v="7"/>
  </r>
  <r>
    <x v="1172"/>
    <x v="2"/>
    <x v="1"/>
    <x v="0"/>
    <x v="0"/>
  </r>
  <r>
    <x v="1173"/>
    <x v="2"/>
    <x v="1"/>
    <x v="0"/>
    <x v="0"/>
  </r>
  <r>
    <x v="1174"/>
    <x v="2"/>
    <x v="1"/>
    <x v="0"/>
    <x v="0"/>
  </r>
  <r>
    <x v="1175"/>
    <x v="2"/>
    <x v="1"/>
    <x v="0"/>
    <x v="0"/>
  </r>
  <r>
    <x v="1176"/>
    <x v="2"/>
    <x v="1"/>
    <x v="1"/>
    <x v="0"/>
  </r>
  <r>
    <x v="1177"/>
    <x v="2"/>
    <x v="1"/>
    <x v="1"/>
    <x v="0"/>
  </r>
  <r>
    <x v="1178"/>
    <x v="2"/>
    <x v="1"/>
    <x v="1"/>
    <x v="0"/>
  </r>
  <r>
    <x v="1179"/>
    <x v="2"/>
    <x v="1"/>
    <x v="1"/>
    <x v="0"/>
  </r>
  <r>
    <x v="1180"/>
    <x v="2"/>
    <x v="1"/>
    <x v="0"/>
    <x v="0"/>
  </r>
  <r>
    <x v="1181"/>
    <x v="2"/>
    <x v="1"/>
    <x v="1"/>
    <x v="0"/>
  </r>
  <r>
    <x v="1182"/>
    <x v="2"/>
    <x v="0"/>
    <x v="0"/>
    <x v="0"/>
  </r>
  <r>
    <x v="1183"/>
    <x v="2"/>
    <x v="1"/>
    <x v="1"/>
    <x v="2"/>
  </r>
  <r>
    <x v="1184"/>
    <x v="2"/>
    <x v="1"/>
    <x v="1"/>
    <x v="0"/>
  </r>
  <r>
    <x v="1185"/>
    <x v="2"/>
    <x v="1"/>
    <x v="1"/>
    <x v="0"/>
  </r>
  <r>
    <x v="1186"/>
    <x v="2"/>
    <x v="1"/>
    <x v="1"/>
    <x v="0"/>
  </r>
  <r>
    <x v="1187"/>
    <x v="2"/>
    <x v="0"/>
    <x v="0"/>
    <x v="1"/>
  </r>
  <r>
    <x v="1188"/>
    <x v="2"/>
    <x v="0"/>
    <x v="0"/>
    <x v="0"/>
  </r>
  <r>
    <x v="1189"/>
    <x v="2"/>
    <x v="0"/>
    <x v="0"/>
    <x v="1"/>
  </r>
  <r>
    <x v="1190"/>
    <x v="2"/>
    <x v="0"/>
    <x v="1"/>
    <x v="0"/>
  </r>
  <r>
    <x v="1191"/>
    <x v="2"/>
    <x v="1"/>
    <x v="1"/>
    <x v="0"/>
  </r>
  <r>
    <x v="1192"/>
    <x v="2"/>
    <x v="1"/>
    <x v="1"/>
    <x v="0"/>
  </r>
  <r>
    <x v="1193"/>
    <x v="2"/>
    <x v="1"/>
    <x v="1"/>
    <x v="0"/>
  </r>
  <r>
    <x v="1194"/>
    <x v="2"/>
    <x v="1"/>
    <x v="1"/>
    <x v="0"/>
  </r>
  <r>
    <x v="1195"/>
    <x v="2"/>
    <x v="1"/>
    <x v="1"/>
    <x v="0"/>
  </r>
  <r>
    <x v="1196"/>
    <x v="2"/>
    <x v="0"/>
    <x v="1"/>
    <x v="0"/>
  </r>
  <r>
    <x v="1197"/>
    <x v="2"/>
    <x v="1"/>
    <x v="1"/>
    <x v="0"/>
  </r>
  <r>
    <x v="1198"/>
    <x v="2"/>
    <x v="0"/>
    <x v="0"/>
    <x v="0"/>
  </r>
  <r>
    <x v="1199"/>
    <x v="2"/>
    <x v="1"/>
    <x v="1"/>
    <x v="0"/>
  </r>
  <r>
    <x v="1200"/>
    <x v="2"/>
    <x v="1"/>
    <x v="1"/>
    <x v="0"/>
  </r>
  <r>
    <x v="1201"/>
    <x v="2"/>
    <x v="1"/>
    <x v="1"/>
    <x v="0"/>
  </r>
  <r>
    <x v="1202"/>
    <x v="2"/>
    <x v="1"/>
    <x v="1"/>
    <x v="0"/>
  </r>
  <r>
    <x v="1203"/>
    <x v="2"/>
    <x v="1"/>
    <x v="1"/>
    <x v="3"/>
  </r>
  <r>
    <x v="1204"/>
    <x v="2"/>
    <x v="1"/>
    <x v="1"/>
    <x v="0"/>
  </r>
  <r>
    <x v="1205"/>
    <x v="2"/>
    <x v="0"/>
    <x v="0"/>
    <x v="7"/>
  </r>
  <r>
    <x v="1206"/>
    <x v="2"/>
    <x v="1"/>
    <x v="1"/>
    <x v="1"/>
  </r>
  <r>
    <x v="1207"/>
    <x v="2"/>
    <x v="1"/>
    <x v="1"/>
    <x v="7"/>
  </r>
  <r>
    <x v="1208"/>
    <x v="2"/>
    <x v="1"/>
    <x v="0"/>
    <x v="1"/>
  </r>
  <r>
    <x v="1209"/>
    <x v="2"/>
    <x v="1"/>
    <x v="0"/>
    <x v="1"/>
  </r>
  <r>
    <x v="1210"/>
    <x v="2"/>
    <x v="1"/>
    <x v="1"/>
    <x v="3"/>
  </r>
  <r>
    <x v="1211"/>
    <x v="2"/>
    <x v="1"/>
    <x v="0"/>
    <x v="3"/>
  </r>
  <r>
    <x v="1212"/>
    <x v="2"/>
    <x v="1"/>
    <x v="1"/>
    <x v="0"/>
  </r>
  <r>
    <x v="1213"/>
    <x v="2"/>
    <x v="1"/>
    <x v="1"/>
    <x v="0"/>
  </r>
  <r>
    <x v="1214"/>
    <x v="2"/>
    <x v="1"/>
    <x v="1"/>
    <x v="0"/>
  </r>
  <r>
    <x v="1215"/>
    <x v="2"/>
    <x v="1"/>
    <x v="1"/>
    <x v="0"/>
  </r>
  <r>
    <x v="1216"/>
    <x v="2"/>
    <x v="0"/>
    <x v="0"/>
    <x v="0"/>
  </r>
  <r>
    <x v="1217"/>
    <x v="2"/>
    <x v="1"/>
    <x v="1"/>
    <x v="7"/>
  </r>
  <r>
    <x v="1218"/>
    <x v="2"/>
    <x v="1"/>
    <x v="1"/>
    <x v="2"/>
  </r>
  <r>
    <x v="1219"/>
    <x v="2"/>
    <x v="1"/>
    <x v="1"/>
    <x v="0"/>
  </r>
  <r>
    <x v="1220"/>
    <x v="2"/>
    <x v="1"/>
    <x v="1"/>
    <x v="2"/>
  </r>
  <r>
    <x v="1221"/>
    <x v="2"/>
    <x v="1"/>
    <x v="1"/>
    <x v="0"/>
  </r>
  <r>
    <x v="1222"/>
    <x v="2"/>
    <x v="1"/>
    <x v="1"/>
    <x v="2"/>
  </r>
  <r>
    <x v="1223"/>
    <x v="2"/>
    <x v="0"/>
    <x v="0"/>
    <x v="0"/>
  </r>
  <r>
    <x v="1224"/>
    <x v="2"/>
    <x v="1"/>
    <x v="1"/>
    <x v="0"/>
  </r>
  <r>
    <x v="1225"/>
    <x v="2"/>
    <x v="1"/>
    <x v="1"/>
    <x v="4"/>
  </r>
  <r>
    <x v="1226"/>
    <x v="2"/>
    <x v="1"/>
    <x v="1"/>
    <x v="7"/>
  </r>
  <r>
    <x v="1227"/>
    <x v="2"/>
    <x v="1"/>
    <x v="0"/>
    <x v="0"/>
  </r>
  <r>
    <x v="1228"/>
    <x v="2"/>
    <x v="0"/>
    <x v="1"/>
    <x v="2"/>
  </r>
  <r>
    <x v="1229"/>
    <x v="2"/>
    <x v="1"/>
    <x v="1"/>
    <x v="0"/>
  </r>
  <r>
    <x v="1230"/>
    <x v="2"/>
    <x v="1"/>
    <x v="0"/>
    <x v="1"/>
  </r>
  <r>
    <x v="1231"/>
    <x v="2"/>
    <x v="1"/>
    <x v="0"/>
    <x v="0"/>
  </r>
  <r>
    <x v="1232"/>
    <x v="2"/>
    <x v="0"/>
    <x v="1"/>
    <x v="7"/>
  </r>
  <r>
    <x v="1233"/>
    <x v="2"/>
    <x v="0"/>
    <x v="1"/>
    <x v="3"/>
  </r>
  <r>
    <x v="1234"/>
    <x v="2"/>
    <x v="1"/>
    <x v="1"/>
    <x v="0"/>
  </r>
  <r>
    <x v="1235"/>
    <x v="2"/>
    <x v="1"/>
    <x v="1"/>
    <x v="6"/>
  </r>
  <r>
    <x v="1236"/>
    <x v="2"/>
    <x v="0"/>
    <x v="1"/>
    <x v="7"/>
  </r>
  <r>
    <x v="1237"/>
    <x v="2"/>
    <x v="1"/>
    <x v="1"/>
    <x v="0"/>
  </r>
  <r>
    <x v="1238"/>
    <x v="2"/>
    <x v="0"/>
    <x v="1"/>
    <x v="0"/>
  </r>
  <r>
    <x v="1239"/>
    <x v="2"/>
    <x v="1"/>
    <x v="1"/>
    <x v="2"/>
  </r>
  <r>
    <x v="1240"/>
    <x v="2"/>
    <x v="0"/>
    <x v="1"/>
    <x v="1"/>
  </r>
  <r>
    <x v="1241"/>
    <x v="2"/>
    <x v="1"/>
    <x v="1"/>
    <x v="0"/>
  </r>
  <r>
    <x v="1242"/>
    <x v="2"/>
    <x v="1"/>
    <x v="1"/>
    <x v="0"/>
  </r>
  <r>
    <x v="1243"/>
    <x v="2"/>
    <x v="1"/>
    <x v="1"/>
    <x v="0"/>
  </r>
  <r>
    <x v="1244"/>
    <x v="2"/>
    <x v="0"/>
    <x v="0"/>
    <x v="7"/>
  </r>
  <r>
    <x v="1245"/>
    <x v="2"/>
    <x v="1"/>
    <x v="1"/>
    <x v="0"/>
  </r>
  <r>
    <x v="1246"/>
    <x v="2"/>
    <x v="1"/>
    <x v="1"/>
    <x v="0"/>
  </r>
  <r>
    <x v="1247"/>
    <x v="2"/>
    <x v="0"/>
    <x v="0"/>
    <x v="0"/>
  </r>
  <r>
    <x v="1248"/>
    <x v="2"/>
    <x v="1"/>
    <x v="1"/>
    <x v="2"/>
  </r>
  <r>
    <x v="1249"/>
    <x v="2"/>
    <x v="1"/>
    <x v="1"/>
    <x v="0"/>
  </r>
  <r>
    <x v="1250"/>
    <x v="2"/>
    <x v="1"/>
    <x v="1"/>
    <x v="0"/>
  </r>
  <r>
    <x v="1251"/>
    <x v="2"/>
    <x v="1"/>
    <x v="1"/>
    <x v="2"/>
  </r>
  <r>
    <x v="1252"/>
    <x v="2"/>
    <x v="1"/>
    <x v="1"/>
    <x v="3"/>
  </r>
  <r>
    <x v="1253"/>
    <x v="2"/>
    <x v="1"/>
    <x v="1"/>
    <x v="0"/>
  </r>
  <r>
    <x v="1254"/>
    <x v="2"/>
    <x v="0"/>
    <x v="1"/>
    <x v="0"/>
  </r>
  <r>
    <x v="1255"/>
    <x v="2"/>
    <x v="1"/>
    <x v="1"/>
    <x v="0"/>
  </r>
  <r>
    <x v="1256"/>
    <x v="2"/>
    <x v="0"/>
    <x v="1"/>
    <x v="1"/>
  </r>
  <r>
    <x v="1257"/>
    <x v="2"/>
    <x v="0"/>
    <x v="0"/>
    <x v="1"/>
  </r>
  <r>
    <x v="1258"/>
    <x v="2"/>
    <x v="0"/>
    <x v="0"/>
    <x v="0"/>
  </r>
  <r>
    <x v="1259"/>
    <x v="2"/>
    <x v="1"/>
    <x v="1"/>
    <x v="2"/>
  </r>
  <r>
    <x v="1260"/>
    <x v="2"/>
    <x v="0"/>
    <x v="0"/>
    <x v="7"/>
  </r>
  <r>
    <x v="1261"/>
    <x v="2"/>
    <x v="0"/>
    <x v="0"/>
    <x v="4"/>
  </r>
  <r>
    <x v="1262"/>
    <x v="2"/>
    <x v="1"/>
    <x v="1"/>
    <x v="0"/>
  </r>
  <r>
    <x v="1263"/>
    <x v="2"/>
    <x v="1"/>
    <x v="1"/>
    <x v="7"/>
  </r>
  <r>
    <x v="1264"/>
    <x v="2"/>
    <x v="1"/>
    <x v="1"/>
    <x v="3"/>
  </r>
  <r>
    <x v="1265"/>
    <x v="2"/>
    <x v="1"/>
    <x v="0"/>
    <x v="7"/>
  </r>
  <r>
    <x v="1266"/>
    <x v="2"/>
    <x v="1"/>
    <x v="1"/>
    <x v="2"/>
  </r>
  <r>
    <x v="1267"/>
    <x v="2"/>
    <x v="1"/>
    <x v="0"/>
    <x v="2"/>
  </r>
  <r>
    <x v="1268"/>
    <x v="2"/>
    <x v="1"/>
    <x v="1"/>
    <x v="0"/>
  </r>
  <r>
    <x v="1269"/>
    <x v="2"/>
    <x v="1"/>
    <x v="1"/>
    <x v="2"/>
  </r>
  <r>
    <x v="1270"/>
    <x v="2"/>
    <x v="1"/>
    <x v="1"/>
    <x v="0"/>
  </r>
  <r>
    <x v="1271"/>
    <x v="2"/>
    <x v="1"/>
    <x v="1"/>
    <x v="0"/>
  </r>
  <r>
    <x v="1272"/>
    <x v="2"/>
    <x v="1"/>
    <x v="1"/>
    <x v="3"/>
  </r>
  <r>
    <x v="1273"/>
    <x v="2"/>
    <x v="1"/>
    <x v="0"/>
    <x v="7"/>
  </r>
  <r>
    <x v="1274"/>
    <x v="2"/>
    <x v="1"/>
    <x v="1"/>
    <x v="2"/>
  </r>
  <r>
    <x v="1275"/>
    <x v="2"/>
    <x v="1"/>
    <x v="1"/>
    <x v="7"/>
  </r>
  <r>
    <x v="1276"/>
    <x v="2"/>
    <x v="1"/>
    <x v="0"/>
    <x v="2"/>
  </r>
  <r>
    <x v="1277"/>
    <x v="2"/>
    <x v="0"/>
    <x v="1"/>
    <x v="0"/>
  </r>
  <r>
    <x v="1278"/>
    <x v="2"/>
    <x v="1"/>
    <x v="1"/>
    <x v="0"/>
  </r>
  <r>
    <x v="1279"/>
    <x v="2"/>
    <x v="1"/>
    <x v="0"/>
    <x v="7"/>
  </r>
  <r>
    <x v="1280"/>
    <x v="2"/>
    <x v="1"/>
    <x v="1"/>
    <x v="0"/>
  </r>
  <r>
    <x v="1281"/>
    <x v="2"/>
    <x v="1"/>
    <x v="1"/>
    <x v="0"/>
  </r>
  <r>
    <x v="1282"/>
    <x v="2"/>
    <x v="1"/>
    <x v="1"/>
    <x v="0"/>
  </r>
  <r>
    <x v="1283"/>
    <x v="2"/>
    <x v="1"/>
    <x v="1"/>
    <x v="0"/>
  </r>
  <r>
    <x v="1284"/>
    <x v="2"/>
    <x v="1"/>
    <x v="1"/>
    <x v="0"/>
  </r>
  <r>
    <x v="1285"/>
    <x v="2"/>
    <x v="1"/>
    <x v="1"/>
    <x v="2"/>
  </r>
  <r>
    <x v="1286"/>
    <x v="2"/>
    <x v="0"/>
    <x v="0"/>
    <x v="2"/>
  </r>
  <r>
    <x v="1287"/>
    <x v="2"/>
    <x v="1"/>
    <x v="1"/>
    <x v="5"/>
  </r>
  <r>
    <x v="1288"/>
    <x v="2"/>
    <x v="1"/>
    <x v="1"/>
    <x v="7"/>
  </r>
  <r>
    <x v="1289"/>
    <x v="2"/>
    <x v="1"/>
    <x v="1"/>
    <x v="0"/>
  </r>
  <r>
    <x v="1290"/>
    <x v="2"/>
    <x v="0"/>
    <x v="0"/>
    <x v="3"/>
  </r>
  <r>
    <x v="1291"/>
    <x v="2"/>
    <x v="1"/>
    <x v="1"/>
    <x v="0"/>
  </r>
  <r>
    <x v="1292"/>
    <x v="2"/>
    <x v="1"/>
    <x v="1"/>
    <x v="0"/>
  </r>
  <r>
    <x v="1293"/>
    <x v="2"/>
    <x v="1"/>
    <x v="1"/>
    <x v="0"/>
  </r>
  <r>
    <x v="1294"/>
    <x v="2"/>
    <x v="1"/>
    <x v="1"/>
    <x v="0"/>
  </r>
  <r>
    <x v="1295"/>
    <x v="2"/>
    <x v="1"/>
    <x v="1"/>
    <x v="0"/>
  </r>
  <r>
    <x v="1296"/>
    <x v="2"/>
    <x v="1"/>
    <x v="1"/>
    <x v="0"/>
  </r>
  <r>
    <x v="1297"/>
    <x v="2"/>
    <x v="1"/>
    <x v="1"/>
    <x v="0"/>
  </r>
  <r>
    <x v="1298"/>
    <x v="2"/>
    <x v="1"/>
    <x v="1"/>
    <x v="2"/>
  </r>
  <r>
    <x v="1299"/>
    <x v="2"/>
    <x v="1"/>
    <x v="1"/>
    <x v="0"/>
  </r>
  <r>
    <x v="1300"/>
    <x v="2"/>
    <x v="0"/>
    <x v="0"/>
    <x v="7"/>
  </r>
  <r>
    <x v="1301"/>
    <x v="2"/>
    <x v="1"/>
    <x v="1"/>
    <x v="3"/>
  </r>
  <r>
    <x v="1302"/>
    <x v="2"/>
    <x v="1"/>
    <x v="1"/>
    <x v="0"/>
  </r>
  <r>
    <x v="1303"/>
    <x v="2"/>
    <x v="1"/>
    <x v="1"/>
    <x v="0"/>
  </r>
  <r>
    <x v="1304"/>
    <x v="2"/>
    <x v="1"/>
    <x v="0"/>
    <x v="7"/>
  </r>
  <r>
    <x v="1305"/>
    <x v="2"/>
    <x v="1"/>
    <x v="0"/>
    <x v="0"/>
  </r>
  <r>
    <x v="1306"/>
    <x v="2"/>
    <x v="1"/>
    <x v="1"/>
    <x v="0"/>
  </r>
  <r>
    <x v="1307"/>
    <x v="2"/>
    <x v="1"/>
    <x v="1"/>
    <x v="0"/>
  </r>
  <r>
    <x v="1308"/>
    <x v="2"/>
    <x v="1"/>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66A264-FD59-4CC1-B521-A803327855B9}"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13:B16" firstHeaderRow="1" firstDataRow="1" firstDataCol="1"/>
  <pivotFields count="5">
    <pivotField dataField="1" showAll="0"/>
    <pivotField showAll="0">
      <items count="4">
        <item x="0"/>
        <item x="2"/>
        <item x="1"/>
        <item t="default"/>
      </items>
    </pivotField>
    <pivotField axis="axisRow" showAll="0">
      <items count="3">
        <item x="1"/>
        <item x="0"/>
        <item t="default"/>
      </items>
    </pivotField>
    <pivotField showAll="0">
      <items count="3">
        <item x="0"/>
        <item x="1"/>
        <item t="default"/>
      </items>
    </pivotField>
    <pivotField showAll="0">
      <items count="10">
        <item x="1"/>
        <item x="7"/>
        <item x="0"/>
        <item x="2"/>
        <item x="3"/>
        <item x="5"/>
        <item x="4"/>
        <item x="6"/>
        <item x="8"/>
        <item t="default"/>
      </items>
    </pivotField>
  </pivotFields>
  <rowFields count="1">
    <field x="2"/>
  </rowFields>
  <rowItems count="3">
    <i>
      <x/>
    </i>
    <i>
      <x v="1"/>
    </i>
    <i t="grand">
      <x/>
    </i>
  </rowItems>
  <colItems count="1">
    <i/>
  </colItems>
  <dataFields count="1">
    <dataField name="Count of Index" fld="0" subtotal="count" baseField="0" baseItem="0"/>
  </dataFields>
  <chartFormats count="4">
    <chartFormat chart="0" format="0"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19" format="12" series="1">
      <pivotArea type="data" outline="0" fieldPosition="0">
        <references count="1">
          <reference field="4294967294" count="1" selected="0">
            <x v="0"/>
          </reference>
        </references>
      </pivotArea>
    </chartFormat>
    <chartFormat chart="23" format="2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FDA74C-A793-47E4-B922-F87D90C767AC}" name="PivotTable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6" firstHeaderRow="1" firstDataRow="1" firstDataCol="1"/>
  <pivotFields count="5">
    <pivotField dataField="1" showAll="0"/>
    <pivotField showAll="0">
      <items count="4">
        <item x="0"/>
        <item x="2"/>
        <item x="1"/>
        <item t="default"/>
      </items>
    </pivotField>
    <pivotField axis="axisRow" showAll="0">
      <items count="3">
        <item x="1"/>
        <item x="0"/>
        <item t="default"/>
      </items>
    </pivotField>
    <pivotField showAll="0">
      <items count="3">
        <item x="0"/>
        <item x="1"/>
        <item t="default"/>
      </items>
    </pivotField>
    <pivotField showAll="0">
      <items count="10">
        <item x="1"/>
        <item x="7"/>
        <item x="0"/>
        <item x="2"/>
        <item x="3"/>
        <item x="5"/>
        <item x="4"/>
        <item x="6"/>
        <item x="8"/>
        <item t="default"/>
      </items>
    </pivotField>
  </pivotFields>
  <rowFields count="1">
    <field x="2"/>
  </rowFields>
  <rowItems count="3">
    <i>
      <x/>
    </i>
    <i>
      <x v="1"/>
    </i>
    <i t="grand">
      <x/>
    </i>
  </rowItems>
  <colItems count="1">
    <i/>
  </colItems>
  <dataFields count="1">
    <dataField name="Count of Index" fld="0" subtotal="count" baseField="0" baseItem="0"/>
  </dataFields>
  <chartFormats count="10">
    <chartFormat chart="0" format="0"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2" count="1" selected="0">
            <x v="0"/>
          </reference>
        </references>
      </pivotArea>
    </chartFormat>
    <chartFormat chart="8" format="9">
      <pivotArea type="data" outline="0" fieldPosition="0">
        <references count="2">
          <reference field="4294967294" count="1" selected="0">
            <x v="0"/>
          </reference>
          <reference field="2" count="1" selected="0">
            <x v="1"/>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19" format="12" series="1">
      <pivotArea type="data" outline="0" fieldPosition="0">
        <references count="1">
          <reference field="4294967294" count="1" selected="0">
            <x v="0"/>
          </reference>
        </references>
      </pivotArea>
    </chartFormat>
    <chartFormat chart="19" format="13">
      <pivotArea type="data" outline="0" fieldPosition="0">
        <references count="2">
          <reference field="4294967294" count="1" selected="0">
            <x v="0"/>
          </reference>
          <reference field="2" count="1" selected="0">
            <x v="0"/>
          </reference>
        </references>
      </pivotArea>
    </chartFormat>
    <chartFormat chart="19" format="14">
      <pivotArea type="data" outline="0" fieldPosition="0">
        <references count="2">
          <reference field="4294967294" count="1" selected="0">
            <x v="0"/>
          </reference>
          <reference field="2" count="1" selected="0">
            <x v="1"/>
          </reference>
        </references>
      </pivotArea>
    </chartFormat>
    <chartFormat chart="23" format="2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D38E4B-C9CB-48DE-941B-BB5E04E23865}" name="PivotTable1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7:D87" firstHeaderRow="1" firstDataRow="2" firstDataCol="1"/>
  <pivotFields count="5">
    <pivotField dataField="1" showAll="0"/>
    <pivotField axis="axisRow" showAll="0">
      <items count="4">
        <item x="0"/>
        <item x="2"/>
        <item x="1"/>
        <item t="default"/>
      </items>
    </pivotField>
    <pivotField axis="axisCol" showAll="0">
      <items count="3">
        <item x="1"/>
        <item x="0"/>
        <item t="default"/>
      </items>
    </pivotField>
    <pivotField showAll="0">
      <items count="3">
        <item x="0"/>
        <item x="1"/>
        <item t="default"/>
      </items>
    </pivotField>
    <pivotField axis="axisRow" showAll="0">
      <items count="10">
        <item x="1"/>
        <item x="7"/>
        <item x="0"/>
        <item x="2"/>
        <item x="3"/>
        <item x="5"/>
        <item x="4"/>
        <item x="6"/>
        <item x="8"/>
        <item t="default"/>
      </items>
    </pivotField>
  </pivotFields>
  <rowFields count="2">
    <field x="1"/>
    <field x="4"/>
  </rowFields>
  <rowItems count="29">
    <i>
      <x/>
    </i>
    <i r="1">
      <x/>
    </i>
    <i r="1">
      <x v="1"/>
    </i>
    <i r="1">
      <x v="2"/>
    </i>
    <i r="1">
      <x v="3"/>
    </i>
    <i r="1">
      <x v="4"/>
    </i>
    <i r="1">
      <x v="5"/>
    </i>
    <i r="1">
      <x v="6"/>
    </i>
    <i r="1">
      <x v="7"/>
    </i>
    <i r="1">
      <x v="8"/>
    </i>
    <i>
      <x v="1"/>
    </i>
    <i r="1">
      <x/>
    </i>
    <i r="1">
      <x v="1"/>
    </i>
    <i r="1">
      <x v="2"/>
    </i>
    <i r="1">
      <x v="3"/>
    </i>
    <i r="1">
      <x v="4"/>
    </i>
    <i r="1">
      <x v="5"/>
    </i>
    <i r="1">
      <x v="6"/>
    </i>
    <i r="1">
      <x v="7"/>
    </i>
    <i>
      <x v="2"/>
    </i>
    <i r="1">
      <x/>
    </i>
    <i r="1">
      <x v="1"/>
    </i>
    <i r="1">
      <x v="2"/>
    </i>
    <i r="1">
      <x v="3"/>
    </i>
    <i r="1">
      <x v="4"/>
    </i>
    <i r="1">
      <x v="5"/>
    </i>
    <i r="1">
      <x v="6"/>
    </i>
    <i r="1">
      <x v="7"/>
    </i>
    <i t="grand">
      <x/>
    </i>
  </rowItems>
  <colFields count="1">
    <field x="2"/>
  </colFields>
  <colItems count="3">
    <i>
      <x/>
    </i>
    <i>
      <x v="1"/>
    </i>
    <i t="grand">
      <x/>
    </i>
  </colItems>
  <dataFields count="1">
    <dataField name="Count of Index" fld="0" subtotal="count" showDataAs="percentOfRow" baseField="0" baseItem="0" numFmtId="164"/>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561159-76C5-427E-8DA3-AD77AD8F74B2}" name="PivotTable10"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7:D48" firstHeaderRow="1" firstDataRow="2" firstDataCol="1"/>
  <pivotFields count="5">
    <pivotField dataField="1" showAll="0"/>
    <pivotField axis="axisRow" showAll="0">
      <items count="4">
        <item x="0"/>
        <item x="2"/>
        <item x="1"/>
        <item t="default"/>
      </items>
    </pivotField>
    <pivotField axis="axisCol" showAll="0">
      <items count="3">
        <item x="1"/>
        <item x="0"/>
        <item t="default"/>
      </items>
    </pivotField>
    <pivotField axis="axisRow" showAll="0">
      <items count="3">
        <item x="0"/>
        <item x="1"/>
        <item t="default"/>
      </items>
    </pivotField>
    <pivotField showAll="0">
      <items count="10">
        <item x="1"/>
        <item x="7"/>
        <item x="0"/>
        <item x="2"/>
        <item x="3"/>
        <item x="5"/>
        <item x="4"/>
        <item x="6"/>
        <item x="8"/>
        <item t="default"/>
      </items>
    </pivotField>
  </pivotFields>
  <rowFields count="2">
    <field x="1"/>
    <field x="3"/>
  </rowFields>
  <rowItems count="10">
    <i>
      <x/>
    </i>
    <i r="1">
      <x/>
    </i>
    <i r="1">
      <x v="1"/>
    </i>
    <i>
      <x v="1"/>
    </i>
    <i r="1">
      <x/>
    </i>
    <i r="1">
      <x v="1"/>
    </i>
    <i>
      <x v="2"/>
    </i>
    <i r="1">
      <x/>
    </i>
    <i r="1">
      <x v="1"/>
    </i>
    <i t="grand">
      <x/>
    </i>
  </rowItems>
  <colFields count="1">
    <field x="2"/>
  </colFields>
  <colItems count="3">
    <i>
      <x/>
    </i>
    <i>
      <x v="1"/>
    </i>
    <i t="grand">
      <x/>
    </i>
  </colItems>
  <dataFields count="1">
    <dataField name="Count of Index" fld="0" subtotal="count" showDataAs="percentOfRow" baseField="0" baseItem="0" numFmtId="164"/>
  </dataField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4" format="0" series="1">
      <pivotArea type="data" outline="0" fieldPosition="0">
        <references count="2">
          <reference field="4294967294" count="1" selected="0">
            <x v="0"/>
          </reference>
          <reference field="2" count="1" selected="0">
            <x v="0"/>
          </reference>
        </references>
      </pivotArea>
    </chartFormat>
    <chartFormat chart="4" format="1" series="1">
      <pivotArea type="data" outline="0" fieldPosition="0">
        <references count="2">
          <reference field="4294967294" count="1" selected="0">
            <x v="0"/>
          </reference>
          <reference field="2" count="1" selected="0">
            <x v="1"/>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DC9E88-39CC-45CA-A0C7-9A33048BDB31}" name="PivotTable4"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1:D26" firstHeaderRow="1" firstDataRow="2" firstDataCol="1"/>
  <pivotFields count="5">
    <pivotField dataField="1" showAll="0"/>
    <pivotField axis="axisRow" showAll="0">
      <items count="4">
        <item x="0"/>
        <item x="2"/>
        <item x="1"/>
        <item t="default"/>
      </items>
    </pivotField>
    <pivotField axis="axisCol" showAll="0">
      <items count="3">
        <item x="1"/>
        <item x="0"/>
        <item t="default"/>
      </items>
    </pivotField>
    <pivotField showAll="0">
      <items count="3">
        <item x="0"/>
        <item x="1"/>
        <item t="default"/>
      </items>
    </pivotField>
    <pivotField showAll="0">
      <items count="10">
        <item x="1"/>
        <item x="7"/>
        <item x="0"/>
        <item x="2"/>
        <item x="3"/>
        <item x="5"/>
        <item x="4"/>
        <item x="6"/>
        <item x="8"/>
        <item t="default"/>
      </items>
    </pivotField>
  </pivotFields>
  <rowFields count="1">
    <field x="1"/>
  </rowFields>
  <rowItems count="4">
    <i>
      <x/>
    </i>
    <i>
      <x v="1"/>
    </i>
    <i>
      <x v="2"/>
    </i>
    <i t="grand">
      <x/>
    </i>
  </rowItems>
  <colFields count="1">
    <field x="2"/>
  </colFields>
  <colItems count="3">
    <i>
      <x/>
    </i>
    <i>
      <x v="1"/>
    </i>
    <i t="grand">
      <x/>
    </i>
  </colItems>
  <dataFields count="1">
    <dataField name="Count of Index" fld="0" subtotal="count" baseField="0" baseItem="0"/>
  </dataField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7" format="4" series="1">
      <pivotArea type="data" outline="0" fieldPosition="0">
        <references count="2">
          <reference field="4294967294" count="1" selected="0">
            <x v="0"/>
          </reference>
          <reference field="2" count="1" selected="0">
            <x v="0"/>
          </reference>
        </references>
      </pivotArea>
    </chartFormat>
    <chartFormat chart="7" format="5" series="1">
      <pivotArea type="data" outline="0" fieldPosition="0">
        <references count="2">
          <reference field="4294967294" count="1" selected="0">
            <x v="0"/>
          </reference>
          <reference field="2" count="1" selected="0">
            <x v="1"/>
          </reference>
        </references>
      </pivotArea>
    </chartFormat>
    <chartFormat chart="7" format="6"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0E6BDD-E687-49F4-8F7E-69F612CF87A7}"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5">
    <pivotField dataField="1"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showAll="0">
      <items count="10">
        <item x="1"/>
        <item x="7"/>
        <item x="0"/>
        <item x="2"/>
        <item x="3"/>
        <item x="5"/>
        <item x="4"/>
        <item x="6"/>
        <item x="8"/>
        <item t="default"/>
      </items>
    </pivotField>
  </pivotFields>
  <rowFields count="1">
    <field x="1"/>
  </rowFields>
  <rowItems count="4">
    <i>
      <x v="1"/>
    </i>
    <i>
      <x/>
    </i>
    <i>
      <x v="2"/>
    </i>
    <i t="grand">
      <x/>
    </i>
  </rowItems>
  <colItems count="1">
    <i/>
  </colItems>
  <dataFields count="1">
    <dataField name="Count of Index"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0756747-2C63-4712-A780-72774D7AF89C}"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5">
    <pivotField dataField="1" showAll="0"/>
    <pivotField showAll="0">
      <items count="4">
        <item x="0"/>
        <item x="2"/>
        <item x="1"/>
        <item t="default"/>
      </items>
    </pivotField>
    <pivotField showAll="0"/>
    <pivotField showAll="0">
      <items count="3">
        <item x="0"/>
        <item x="1"/>
        <item t="default"/>
      </items>
    </pivotField>
    <pivotField showAll="0">
      <items count="10">
        <item x="1"/>
        <item x="7"/>
        <item x="0"/>
        <item x="2"/>
        <item x="3"/>
        <item x="5"/>
        <item x="4"/>
        <item x="6"/>
        <item x="8"/>
        <item t="default"/>
      </items>
    </pivotField>
  </pivotFields>
  <rowItems count="1">
    <i/>
  </rowItems>
  <colItems count="1">
    <i/>
  </colItems>
  <dataFields count="1">
    <dataField name="Count of Index"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30DEE3-4142-40B1-A7E4-D2F5963A6C76}" name="PivotTable6"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6:D30" firstHeaderRow="1" firstDataRow="2" firstDataCol="1"/>
  <pivotFields count="5">
    <pivotField dataField="1" showAll="0"/>
    <pivotField showAll="0">
      <items count="4">
        <item x="0"/>
        <item x="2"/>
        <item x="1"/>
        <item t="default"/>
      </items>
    </pivotField>
    <pivotField axis="axisCol" showAll="0">
      <items count="3">
        <item x="1"/>
        <item x="0"/>
        <item t="default"/>
      </items>
    </pivotField>
    <pivotField axis="axisRow" showAll="0">
      <items count="3">
        <item x="0"/>
        <item x="1"/>
        <item t="default"/>
      </items>
    </pivotField>
    <pivotField showAll="0">
      <items count="10">
        <item x="1"/>
        <item x="7"/>
        <item x="0"/>
        <item x="2"/>
        <item x="3"/>
        <item x="5"/>
        <item x="4"/>
        <item x="6"/>
        <item x="8"/>
        <item t="default"/>
      </items>
    </pivotField>
  </pivotFields>
  <rowFields count="1">
    <field x="3"/>
  </rowFields>
  <rowItems count="3">
    <i>
      <x/>
    </i>
    <i>
      <x v="1"/>
    </i>
    <i t="grand">
      <x/>
    </i>
  </rowItems>
  <colFields count="1">
    <field x="2"/>
  </colFields>
  <colItems count="3">
    <i>
      <x/>
    </i>
    <i>
      <x v="1"/>
    </i>
    <i t="grand">
      <x/>
    </i>
  </colItems>
  <dataFields count="1">
    <dataField name="Count of Index" fld="0" subtotal="count" showDataAs="percentOfRow" baseField="0" baseItem="0" numFmtId="10"/>
  </dataFields>
  <formats count="3">
    <format dxfId="329">
      <pivotArea collapsedLevelsAreSubtotals="1" fieldPosition="0">
        <references count="1">
          <reference field="3" count="1">
            <x v="0"/>
          </reference>
        </references>
      </pivotArea>
    </format>
    <format dxfId="330">
      <pivotArea collapsedLevelsAreSubtotals="1" fieldPosition="0">
        <references count="1">
          <reference field="3" count="1">
            <x v="1"/>
          </reference>
        </references>
      </pivotArea>
    </format>
    <format dxfId="331">
      <pivotArea grandRow="1"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9" format="4" series="1">
      <pivotArea type="data" outline="0" fieldPosition="0">
        <references count="2">
          <reference field="4294967294" count="1" selected="0">
            <x v="0"/>
          </reference>
          <reference field="2" count="1" selected="0">
            <x v="0"/>
          </reference>
        </references>
      </pivotArea>
    </chartFormat>
    <chartFormat chart="9" format="5" series="1">
      <pivotArea type="data" outline="0" fieldPosition="0">
        <references count="2">
          <reference field="4294967294" count="1" selected="0">
            <x v="0"/>
          </reference>
          <reference field="2" count="1" selected="0">
            <x v="1"/>
          </reference>
        </references>
      </pivotArea>
    </chartFormat>
    <chartFormat chart="9" format="6"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4E32175-FE0C-4DB3-9237-5D2D3E3BF522}" name="PivotTable5"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5">
    <pivotField dataField="1" showAll="0"/>
    <pivotField showAll="0">
      <items count="4">
        <item x="0"/>
        <item x="2"/>
        <item x="1"/>
        <item t="default"/>
      </items>
    </pivotField>
    <pivotField showAll="0"/>
    <pivotField axis="axisRow" showAll="0">
      <items count="3">
        <item x="0"/>
        <item x="1"/>
        <item t="default"/>
      </items>
    </pivotField>
    <pivotField showAll="0">
      <items count="10">
        <item x="1"/>
        <item x="7"/>
        <item x="0"/>
        <item x="2"/>
        <item x="3"/>
        <item x="5"/>
        <item x="4"/>
        <item x="6"/>
        <item x="8"/>
        <item t="default"/>
      </items>
    </pivotField>
  </pivotFields>
  <rowFields count="1">
    <field x="3"/>
  </rowFields>
  <rowItems count="3">
    <i>
      <x/>
    </i>
    <i>
      <x v="1"/>
    </i>
    <i t="grand">
      <x/>
    </i>
  </rowItems>
  <colItems count="1">
    <i/>
  </colItems>
  <dataFields count="1">
    <dataField name="Count of Index" fld="0" subtotal="count" baseField="0" baseItem="0"/>
  </dataFields>
  <formats count="4">
    <format dxfId="332">
      <pivotArea collapsedLevelsAreSubtotals="1" fieldPosition="0">
        <references count="1">
          <reference field="3" count="1">
            <x v="0"/>
          </reference>
        </references>
      </pivotArea>
    </format>
    <format dxfId="333">
      <pivotArea collapsedLevelsAreSubtotals="1" fieldPosition="0">
        <references count="1">
          <reference field="3" count="1">
            <x v="1"/>
          </reference>
        </references>
      </pivotArea>
    </format>
    <format dxfId="334">
      <pivotArea grandRow="1" outline="0" collapsedLevelsAreSubtotals="1" fieldPosition="0"/>
    </format>
    <format dxfId="335">
      <pivotArea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6CB91-FB8E-4598-ACFA-EBA543009E92}" name="PivotTable9"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1:D32" firstHeaderRow="1" firstDataRow="2" firstDataCol="1"/>
  <pivotFields count="5">
    <pivotField dataField="1" showAll="0"/>
    <pivotField showAll="0">
      <items count="4">
        <item x="0"/>
        <item x="2"/>
        <item x="1"/>
        <item t="default"/>
      </items>
    </pivotField>
    <pivotField axis="axisCol" showAll="0">
      <items count="3">
        <item x="1"/>
        <item x="0"/>
        <item t="default"/>
      </items>
    </pivotField>
    <pivotField showAll="0">
      <items count="3">
        <item x="0"/>
        <item x="1"/>
        <item t="default"/>
      </items>
    </pivotField>
    <pivotField axis="axisRow" showAll="0">
      <items count="10">
        <item x="1"/>
        <item x="7"/>
        <item x="0"/>
        <item x="2"/>
        <item x="3"/>
        <item x="5"/>
        <item x="4"/>
        <item x="6"/>
        <item x="8"/>
        <item t="default"/>
      </items>
    </pivotField>
  </pivotFields>
  <rowFields count="1">
    <field x="4"/>
  </rowFields>
  <rowItems count="10">
    <i>
      <x/>
    </i>
    <i>
      <x v="1"/>
    </i>
    <i>
      <x v="2"/>
    </i>
    <i>
      <x v="3"/>
    </i>
    <i>
      <x v="4"/>
    </i>
    <i>
      <x v="5"/>
    </i>
    <i>
      <x v="6"/>
    </i>
    <i>
      <x v="7"/>
    </i>
    <i>
      <x v="8"/>
    </i>
    <i t="grand">
      <x/>
    </i>
  </rowItems>
  <colFields count="1">
    <field x="2"/>
  </colFields>
  <colItems count="3">
    <i>
      <x/>
    </i>
    <i>
      <x v="1"/>
    </i>
    <i t="grand">
      <x/>
    </i>
  </colItems>
  <dataFields count="1">
    <dataField name="Count of Index" fld="0" subtotal="count" baseField="0" baseItem="0"/>
  </dataField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8" format="4" series="1">
      <pivotArea type="data" outline="0" fieldPosition="0">
        <references count="2">
          <reference field="4294967294" count="1" selected="0">
            <x v="0"/>
          </reference>
          <reference field="2" count="1" selected="0">
            <x v="0"/>
          </reference>
        </references>
      </pivotArea>
    </chartFormat>
    <chartFormat chart="8" format="5" series="1">
      <pivotArea type="data" outline="0" fieldPosition="0">
        <references count="2">
          <reference field="4294967294" count="1" selected="0">
            <x v="0"/>
          </reference>
          <reference field="2" count="1" selected="0">
            <x v="1"/>
          </reference>
        </references>
      </pivotArea>
    </chartFormat>
    <chartFormat chart="8" format="6"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7B480E5-AA10-4F57-B7C2-9BC17A8B976D}" name="PivotTable7"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3" firstHeaderRow="1" firstDataRow="1" firstDataCol="1"/>
  <pivotFields count="5">
    <pivotField dataField="1" showAll="0"/>
    <pivotField showAll="0">
      <items count="4">
        <item x="0"/>
        <item x="2"/>
        <item x="1"/>
        <item t="default"/>
      </items>
    </pivotField>
    <pivotField showAll="0"/>
    <pivotField showAll="0">
      <items count="3">
        <item x="0"/>
        <item x="1"/>
        <item t="default"/>
      </items>
    </pivotField>
    <pivotField axis="axisRow" showAll="0">
      <items count="10">
        <item x="1"/>
        <item x="7"/>
        <item x="0"/>
        <item x="2"/>
        <item x="3"/>
        <item x="5"/>
        <item x="4"/>
        <item x="6"/>
        <item x="8"/>
        <item t="default"/>
      </items>
    </pivotField>
  </pivotFields>
  <rowFields count="1">
    <field x="4"/>
  </rowFields>
  <rowItems count="10">
    <i>
      <x/>
    </i>
    <i>
      <x v="1"/>
    </i>
    <i>
      <x v="2"/>
    </i>
    <i>
      <x v="3"/>
    </i>
    <i>
      <x v="4"/>
    </i>
    <i>
      <x v="5"/>
    </i>
    <i>
      <x v="6"/>
    </i>
    <i>
      <x v="7"/>
    </i>
    <i>
      <x v="8"/>
    </i>
    <i t="grand">
      <x/>
    </i>
  </rowItems>
  <colItems count="1">
    <i/>
  </colItems>
  <dataFields count="1">
    <dataField name="Count of Index"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B328DF6-54B6-4AB1-8323-42411B40F3B5}"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5">
    <pivotField dataField="1" showAll="0">
      <items count="1310">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4">
        <item x="0"/>
        <item x="2"/>
        <item x="1"/>
        <item t="default"/>
      </items>
    </pivotField>
    <pivotField axis="axisRow" showAll="0">
      <items count="3">
        <item x="1"/>
        <item x="0"/>
        <item t="default"/>
      </items>
    </pivotField>
    <pivotField showAll="0">
      <items count="3">
        <item x="0"/>
        <item x="1"/>
        <item t="default"/>
      </items>
    </pivotField>
    <pivotField showAll="0">
      <items count="10">
        <item x="1"/>
        <item x="7"/>
        <item x="0"/>
        <item x="2"/>
        <item x="3"/>
        <item x="5"/>
        <item x="4"/>
        <item x="6"/>
        <item x="8"/>
        <item t="default"/>
      </items>
    </pivotField>
  </pivotFields>
  <rowFields count="1">
    <field x="2"/>
  </rowFields>
  <rowItems count="3">
    <i>
      <x/>
    </i>
    <i>
      <x v="1"/>
    </i>
    <i t="grand">
      <x/>
    </i>
  </rowItems>
  <colItems count="1">
    <i/>
  </colItems>
  <dataFields count="1">
    <dataField name="Count of Index"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55E3B31-AC8B-4292-AE84-35304BD1736F}" autoFormatId="16" applyNumberFormats="0" applyBorderFormats="0" applyFontFormats="0" applyPatternFormats="0" applyAlignmentFormats="0" applyWidthHeightFormats="0">
  <queryTableRefresh nextId="6">
    <queryTableFields count="5">
      <queryTableField id="1" name="Index" tableColumnId="1"/>
      <queryTableField id="2" name="new pclass" tableColumnId="2"/>
      <queryTableField id="3" name="new_survived" tableColumnId="3"/>
      <queryTableField id="4" name="sex" tableColumnId="4"/>
      <queryTableField id="5" name="new_ageCustom"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w_pclass" xr10:uid="{993EDE39-2CEA-4795-904B-6D080A782F24}" sourceName="new pclass">
  <pivotTables>
    <pivotTable tabId="6" name="PivotTable5"/>
    <pivotTable tabId="4" name="PivotTable10"/>
    <pivotTable tabId="4" name="PivotTable11"/>
    <pivotTable tabId="4" name="PivotTable2"/>
    <pivotTable tabId="4" name="PivotTable4"/>
    <pivotTable tabId="6" name="PivotTable6"/>
    <pivotTable tabId="5" name="PivotTable3"/>
    <pivotTable tabId="7" name="PivotTable7"/>
    <pivotTable tabId="7" name="PivotTable9"/>
    <pivotTable tabId="3" name="PivotTable1"/>
    <pivotTable tabId="3" name="PivotTable2"/>
    <pivotTable tabId="11" name="PivotTable3"/>
  </pivotTables>
  <data>
    <tabular pivotCacheId="5586372">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1C9CF1DF-34E8-412B-9AC5-37EE0749B060}" sourceName="sex">
  <pivotTables>
    <pivotTable tabId="4" name="PivotTable2"/>
    <pivotTable tabId="4" name="PivotTable10"/>
    <pivotTable tabId="4" name="PivotTable11"/>
    <pivotTable tabId="4" name="PivotTable4"/>
    <pivotTable tabId="6" name="PivotTable5"/>
    <pivotTable tabId="6" name="PivotTable6"/>
    <pivotTable tabId="5" name="PivotTable3"/>
    <pivotTable tabId="7" name="PivotTable7"/>
    <pivotTable tabId="7" name="PivotTable9"/>
    <pivotTable tabId="3" name="PivotTable1"/>
    <pivotTable tabId="3" name="PivotTable2"/>
    <pivotTable tabId="11" name="PivotTable3"/>
  </pivotTables>
  <data>
    <tabular pivotCacheId="558637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w_ageCustom" xr10:uid="{99F0E0FC-43C8-4A13-A9F2-DEFB59579DDC}" sourceName="new_ageCustom">
  <pivotTables>
    <pivotTable tabId="4" name="PivotTable2"/>
    <pivotTable tabId="4" name="PivotTable10"/>
    <pivotTable tabId="4" name="PivotTable11"/>
    <pivotTable tabId="4" name="PivotTable4"/>
    <pivotTable tabId="6" name="PivotTable5"/>
    <pivotTable tabId="6" name="PivotTable6"/>
    <pivotTable tabId="5" name="PivotTable3"/>
    <pivotTable tabId="7" name="PivotTable7"/>
    <pivotTable tabId="7" name="PivotTable9"/>
    <pivotTable tabId="3" name="PivotTable1"/>
    <pivotTable tabId="3" name="PivotTable2"/>
    <pivotTable tabId="11" name="PivotTable3"/>
  </pivotTables>
  <data>
    <tabular pivotCacheId="5586372">
      <items count="9">
        <i x="1" s="1"/>
        <i x="7" s="1"/>
        <i x="0" s="1"/>
        <i x="2" s="1"/>
        <i x="3" s="1"/>
        <i x="5" s="1"/>
        <i x="4" s="1"/>
        <i x="6"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ass" xr10:uid="{70F79DA9-4487-41CC-94DF-78ED6AF2FA1A}" cache="Slicer_new_pclass" caption="PERSON CLASS" columnCount="3" rowHeight="257175"/>
  <slicer name="sex" xr10:uid="{113B1557-E223-42E2-8E29-B481847D0592}" cache="Slicer_sex" caption="GENDER" columnCount="2" rowHeight="257175"/>
  <slicer name="new_ageCustom" xr10:uid="{0D1D1306-82AD-440E-9866-DC32B806D4DC}" cache="Slicer_new_ageCustom" caption="AGE_RANGE" columnCount="9" rowHeight="257175"/>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9B5BAA-B90F-4C80-A6ED-30B34CA1762A}" name="Table2" displayName="Table2" ref="A3:E90" totalsRowShown="0">
  <autoFilter ref="A3:E90" xr:uid="{019B5BAA-B90F-4C80-A6ED-30B34CA1762A}"/>
  <tableColumns count="5">
    <tableColumn id="1" xr3:uid="{42088488-BECA-48F6-A8A1-9078D8127E4C}" name="Index"/>
    <tableColumn id="2" xr3:uid="{E6BB2AE5-5140-4D05-AC2E-EBD34DADDD58}" name="new pclass"/>
    <tableColumn id="3" xr3:uid="{78093F6E-D8D0-4976-89E0-B0FA8B02FB64}" name="new_survived"/>
    <tableColumn id="4" xr3:uid="{D6F8DCEA-8CE0-440A-B347-AA10202D7AD1}" name="sex"/>
    <tableColumn id="5" xr3:uid="{B841FAE6-8092-4013-8F24-3CC8FD97C5EC}" name="new_ageCustom"/>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EF05E8-D038-49B6-A9DD-F6E36B167DED}" name="Titanic_Clean_DataSet" displayName="Titanic_Clean_DataSet" ref="A1:E1310" tableType="queryTable" totalsRowShown="0">
  <autoFilter ref="A1:E1310" xr:uid="{EDEF05E8-D038-49B6-A9DD-F6E36B167DED}"/>
  <tableColumns count="5">
    <tableColumn id="1" xr3:uid="{7EA38652-6541-4600-A0A9-B5EDCBCC3570}" uniqueName="1" name="Index" queryTableFieldId="1" dataDxfId="340"/>
    <tableColumn id="2" xr3:uid="{26A210EE-75C3-4C77-8DF7-4CABBE645B42}" uniqueName="2" name="new pclass" queryTableFieldId="2" dataDxfId="339"/>
    <tableColumn id="3" xr3:uid="{50805DFB-8A0C-43B1-B748-1BE0C4292EF1}" uniqueName="3" name="new_survived" queryTableFieldId="3" dataDxfId="338"/>
    <tableColumn id="4" xr3:uid="{053A2715-770B-4AC3-81C9-0CA65BB4E6B5}" uniqueName="4" name="sex" queryTableFieldId="4" dataDxfId="337"/>
    <tableColumn id="5" xr3:uid="{C818F170-1289-4A20-A1CD-D798D0D907D2}" uniqueName="5" name="new_ageCustom" queryTableFieldId="5" dataDxfId="33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drawing" Target="../drawings/drawing2.xml"/><Relationship Id="rId4"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B82C9-CA72-48A2-89A8-362DB279B5CA}">
  <dimension ref="A1:E90"/>
  <sheetViews>
    <sheetView workbookViewId="0">
      <selection activeCell="A3" sqref="A3:E90"/>
    </sheetView>
  </sheetViews>
  <sheetFormatPr defaultRowHeight="15" x14ac:dyDescent="0.25"/>
  <cols>
    <col min="1" max="1" width="9.28515625" bestFit="1" customWidth="1"/>
    <col min="2" max="2" width="13.140625" bestFit="1" customWidth="1"/>
    <col min="3" max="3" width="15.7109375" bestFit="1" customWidth="1"/>
    <col min="4" max="4" width="9.28515625" bestFit="1" customWidth="1"/>
    <col min="5" max="5" width="18.28515625" bestFit="1" customWidth="1"/>
  </cols>
  <sheetData>
    <row r="1" spans="1:5" x14ac:dyDescent="0.25">
      <c r="A1" s="10" t="s">
        <v>1334</v>
      </c>
    </row>
    <row r="3" spans="1:5" x14ac:dyDescent="0.25">
      <c r="A3" t="s">
        <v>0</v>
      </c>
      <c r="B3" t="s">
        <v>1</v>
      </c>
      <c r="C3" t="s">
        <v>2</v>
      </c>
      <c r="D3" t="s">
        <v>3</v>
      </c>
      <c r="E3" t="s">
        <v>4</v>
      </c>
    </row>
    <row r="4" spans="1:5" x14ac:dyDescent="0.25">
      <c r="A4" t="s">
        <v>1325</v>
      </c>
      <c r="B4" t="s">
        <v>621</v>
      </c>
      <c r="C4" t="s">
        <v>14</v>
      </c>
      <c r="D4" t="s">
        <v>8</v>
      </c>
      <c r="E4" t="s">
        <v>29</v>
      </c>
    </row>
    <row r="5" spans="1:5" x14ac:dyDescent="0.25">
      <c r="A5" t="s">
        <v>1309</v>
      </c>
      <c r="B5" t="s">
        <v>621</v>
      </c>
      <c r="C5" t="s">
        <v>14</v>
      </c>
      <c r="D5" t="s">
        <v>11</v>
      </c>
      <c r="E5" t="s">
        <v>29</v>
      </c>
    </row>
    <row r="6" spans="1:5" x14ac:dyDescent="0.25">
      <c r="A6" t="s">
        <v>1300</v>
      </c>
      <c r="B6" t="s">
        <v>621</v>
      </c>
      <c r="C6" t="s">
        <v>14</v>
      </c>
      <c r="D6" t="s">
        <v>8</v>
      </c>
      <c r="E6" t="s">
        <v>29</v>
      </c>
    </row>
    <row r="7" spans="1:5" x14ac:dyDescent="0.25">
      <c r="A7" t="s">
        <v>1296</v>
      </c>
      <c r="B7" t="s">
        <v>621</v>
      </c>
      <c r="C7" t="s">
        <v>14</v>
      </c>
      <c r="D7" t="s">
        <v>11</v>
      </c>
      <c r="E7" t="s">
        <v>29</v>
      </c>
    </row>
    <row r="8" spans="1:5" x14ac:dyDescent="0.25">
      <c r="A8" t="s">
        <v>1294</v>
      </c>
      <c r="B8" t="s">
        <v>621</v>
      </c>
      <c r="C8" t="s">
        <v>14</v>
      </c>
      <c r="D8" t="s">
        <v>8</v>
      </c>
      <c r="E8" t="s">
        <v>29</v>
      </c>
    </row>
    <row r="9" spans="1:5" x14ac:dyDescent="0.25">
      <c r="A9" t="s">
        <v>1286</v>
      </c>
      <c r="B9" t="s">
        <v>621</v>
      </c>
      <c r="C9" t="s">
        <v>14</v>
      </c>
      <c r="D9" t="s">
        <v>8</v>
      </c>
      <c r="E9" t="s">
        <v>29</v>
      </c>
    </row>
    <row r="10" spans="1:5" x14ac:dyDescent="0.25">
      <c r="A10" t="s">
        <v>1284</v>
      </c>
      <c r="B10" t="s">
        <v>621</v>
      </c>
      <c r="C10" t="s">
        <v>14</v>
      </c>
      <c r="D10" t="s">
        <v>11</v>
      </c>
      <c r="E10" t="s">
        <v>29</v>
      </c>
    </row>
    <row r="11" spans="1:5" x14ac:dyDescent="0.25">
      <c r="A11" t="s">
        <v>1247</v>
      </c>
      <c r="B11" t="s">
        <v>621</v>
      </c>
      <c r="C11" t="s">
        <v>14</v>
      </c>
      <c r="D11" t="s">
        <v>11</v>
      </c>
      <c r="E11" t="s">
        <v>29</v>
      </c>
    </row>
    <row r="12" spans="1:5" x14ac:dyDescent="0.25">
      <c r="A12" t="s">
        <v>1238</v>
      </c>
      <c r="B12" t="s">
        <v>621</v>
      </c>
      <c r="C12" t="s">
        <v>14</v>
      </c>
      <c r="D12" t="s">
        <v>11</v>
      </c>
      <c r="E12" t="s">
        <v>29</v>
      </c>
    </row>
    <row r="13" spans="1:5" x14ac:dyDescent="0.25">
      <c r="A13" t="s">
        <v>1228</v>
      </c>
      <c r="B13" t="s">
        <v>621</v>
      </c>
      <c r="C13" t="s">
        <v>14</v>
      </c>
      <c r="D13" t="s">
        <v>11</v>
      </c>
      <c r="E13" t="s">
        <v>29</v>
      </c>
    </row>
    <row r="14" spans="1:5" x14ac:dyDescent="0.25">
      <c r="A14" t="s">
        <v>1192</v>
      </c>
      <c r="B14" t="s">
        <v>621</v>
      </c>
      <c r="C14" t="s">
        <v>14</v>
      </c>
      <c r="D14" t="s">
        <v>11</v>
      </c>
      <c r="E14" t="s">
        <v>29</v>
      </c>
    </row>
    <row r="15" spans="1:5" x14ac:dyDescent="0.25">
      <c r="A15" t="s">
        <v>1182</v>
      </c>
      <c r="B15" t="s">
        <v>621</v>
      </c>
      <c r="C15" t="s">
        <v>14</v>
      </c>
      <c r="D15" t="s">
        <v>11</v>
      </c>
      <c r="E15" t="s">
        <v>29</v>
      </c>
    </row>
    <row r="16" spans="1:5" x14ac:dyDescent="0.25">
      <c r="A16" t="s">
        <v>1178</v>
      </c>
      <c r="B16" t="s">
        <v>621</v>
      </c>
      <c r="C16" t="s">
        <v>14</v>
      </c>
      <c r="D16" t="s">
        <v>11</v>
      </c>
      <c r="E16" t="s">
        <v>29</v>
      </c>
    </row>
    <row r="17" spans="1:5" x14ac:dyDescent="0.25">
      <c r="A17" t="s">
        <v>1162</v>
      </c>
      <c r="B17" t="s">
        <v>621</v>
      </c>
      <c r="C17" t="s">
        <v>14</v>
      </c>
      <c r="D17" t="s">
        <v>11</v>
      </c>
      <c r="E17" t="s">
        <v>29</v>
      </c>
    </row>
    <row r="18" spans="1:5" x14ac:dyDescent="0.25">
      <c r="A18" t="s">
        <v>1154</v>
      </c>
      <c r="B18" t="s">
        <v>621</v>
      </c>
      <c r="C18" t="s">
        <v>14</v>
      </c>
      <c r="D18" t="s">
        <v>11</v>
      </c>
      <c r="E18" t="s">
        <v>29</v>
      </c>
    </row>
    <row r="19" spans="1:5" x14ac:dyDescent="0.25">
      <c r="A19" t="s">
        <v>1151</v>
      </c>
      <c r="B19" t="s">
        <v>621</v>
      </c>
      <c r="C19" t="s">
        <v>14</v>
      </c>
      <c r="D19" t="s">
        <v>8</v>
      </c>
      <c r="E19" t="s">
        <v>29</v>
      </c>
    </row>
    <row r="20" spans="1:5" x14ac:dyDescent="0.25">
      <c r="A20" t="s">
        <v>1148</v>
      </c>
      <c r="B20" t="s">
        <v>621</v>
      </c>
      <c r="C20" t="s">
        <v>14</v>
      </c>
      <c r="D20" t="s">
        <v>11</v>
      </c>
      <c r="E20" t="s">
        <v>29</v>
      </c>
    </row>
    <row r="21" spans="1:5" x14ac:dyDescent="0.25">
      <c r="A21" t="s">
        <v>1129</v>
      </c>
      <c r="B21" t="s">
        <v>621</v>
      </c>
      <c r="C21" t="s">
        <v>14</v>
      </c>
      <c r="D21" t="s">
        <v>11</v>
      </c>
      <c r="E21" t="s">
        <v>29</v>
      </c>
    </row>
    <row r="22" spans="1:5" x14ac:dyDescent="0.25">
      <c r="A22" t="s">
        <v>1126</v>
      </c>
      <c r="B22" t="s">
        <v>621</v>
      </c>
      <c r="C22" t="s">
        <v>14</v>
      </c>
      <c r="D22" t="s">
        <v>11</v>
      </c>
      <c r="E22" t="s">
        <v>29</v>
      </c>
    </row>
    <row r="23" spans="1:5" x14ac:dyDescent="0.25">
      <c r="A23" t="s">
        <v>1125</v>
      </c>
      <c r="B23" t="s">
        <v>621</v>
      </c>
      <c r="C23" t="s">
        <v>14</v>
      </c>
      <c r="D23" t="s">
        <v>11</v>
      </c>
      <c r="E23" t="s">
        <v>29</v>
      </c>
    </row>
    <row r="24" spans="1:5" x14ac:dyDescent="0.25">
      <c r="A24" t="s">
        <v>1114</v>
      </c>
      <c r="B24" t="s">
        <v>621</v>
      </c>
      <c r="C24" t="s">
        <v>14</v>
      </c>
      <c r="D24" t="s">
        <v>11</v>
      </c>
      <c r="E24" t="s">
        <v>29</v>
      </c>
    </row>
    <row r="25" spans="1:5" x14ac:dyDescent="0.25">
      <c r="A25" t="s">
        <v>1066</v>
      </c>
      <c r="B25" t="s">
        <v>621</v>
      </c>
      <c r="C25" t="s">
        <v>14</v>
      </c>
      <c r="D25" t="s">
        <v>11</v>
      </c>
      <c r="E25" t="s">
        <v>29</v>
      </c>
    </row>
    <row r="26" spans="1:5" x14ac:dyDescent="0.25">
      <c r="A26" t="s">
        <v>1032</v>
      </c>
      <c r="B26" t="s">
        <v>621</v>
      </c>
      <c r="C26" t="s">
        <v>14</v>
      </c>
      <c r="D26" t="s">
        <v>8</v>
      </c>
      <c r="E26" t="s">
        <v>29</v>
      </c>
    </row>
    <row r="27" spans="1:5" x14ac:dyDescent="0.25">
      <c r="A27" t="s">
        <v>959</v>
      </c>
      <c r="B27" t="s">
        <v>621</v>
      </c>
      <c r="C27" t="s">
        <v>14</v>
      </c>
      <c r="D27" t="s">
        <v>11</v>
      </c>
      <c r="E27" t="s">
        <v>29</v>
      </c>
    </row>
    <row r="28" spans="1:5" x14ac:dyDescent="0.25">
      <c r="A28" t="s">
        <v>940</v>
      </c>
      <c r="B28" t="s">
        <v>621</v>
      </c>
      <c r="C28" t="s">
        <v>14</v>
      </c>
      <c r="D28" t="s">
        <v>11</v>
      </c>
      <c r="E28" t="s">
        <v>29</v>
      </c>
    </row>
    <row r="29" spans="1:5" x14ac:dyDescent="0.25">
      <c r="A29" t="s">
        <v>931</v>
      </c>
      <c r="B29" t="s">
        <v>621</v>
      </c>
      <c r="C29" t="s">
        <v>14</v>
      </c>
      <c r="D29" t="s">
        <v>11</v>
      </c>
      <c r="E29" t="s">
        <v>29</v>
      </c>
    </row>
    <row r="30" spans="1:5" x14ac:dyDescent="0.25">
      <c r="A30" t="s">
        <v>919</v>
      </c>
      <c r="B30" t="s">
        <v>621</v>
      </c>
      <c r="C30" t="s">
        <v>14</v>
      </c>
      <c r="D30" t="s">
        <v>11</v>
      </c>
      <c r="E30" t="s">
        <v>29</v>
      </c>
    </row>
    <row r="31" spans="1:5" x14ac:dyDescent="0.25">
      <c r="A31" t="s">
        <v>906</v>
      </c>
      <c r="B31" t="s">
        <v>621</v>
      </c>
      <c r="C31" t="s">
        <v>14</v>
      </c>
      <c r="D31" t="s">
        <v>11</v>
      </c>
      <c r="E31" t="s">
        <v>29</v>
      </c>
    </row>
    <row r="32" spans="1:5" x14ac:dyDescent="0.25">
      <c r="A32" t="s">
        <v>880</v>
      </c>
      <c r="B32" t="s">
        <v>621</v>
      </c>
      <c r="C32" t="s">
        <v>14</v>
      </c>
      <c r="D32" t="s">
        <v>8</v>
      </c>
      <c r="E32" t="s">
        <v>29</v>
      </c>
    </row>
    <row r="33" spans="1:5" x14ac:dyDescent="0.25">
      <c r="A33" t="s">
        <v>876</v>
      </c>
      <c r="B33" t="s">
        <v>621</v>
      </c>
      <c r="C33" t="s">
        <v>14</v>
      </c>
      <c r="D33" t="s">
        <v>11</v>
      </c>
      <c r="E33" t="s">
        <v>29</v>
      </c>
    </row>
    <row r="34" spans="1:5" x14ac:dyDescent="0.25">
      <c r="A34" t="s">
        <v>862</v>
      </c>
      <c r="B34" t="s">
        <v>621</v>
      </c>
      <c r="C34" t="s">
        <v>14</v>
      </c>
      <c r="D34" t="s">
        <v>8</v>
      </c>
      <c r="E34" t="s">
        <v>29</v>
      </c>
    </row>
    <row r="35" spans="1:5" x14ac:dyDescent="0.25">
      <c r="A35" t="s">
        <v>860</v>
      </c>
      <c r="B35" t="s">
        <v>621</v>
      </c>
      <c r="C35" t="s">
        <v>14</v>
      </c>
      <c r="D35" t="s">
        <v>11</v>
      </c>
      <c r="E35" t="s">
        <v>29</v>
      </c>
    </row>
    <row r="36" spans="1:5" x14ac:dyDescent="0.25">
      <c r="A36" t="s">
        <v>851</v>
      </c>
      <c r="B36" t="s">
        <v>621</v>
      </c>
      <c r="C36" t="s">
        <v>14</v>
      </c>
      <c r="D36" t="s">
        <v>11</v>
      </c>
      <c r="E36" t="s">
        <v>29</v>
      </c>
    </row>
    <row r="37" spans="1:5" x14ac:dyDescent="0.25">
      <c r="A37" t="s">
        <v>850</v>
      </c>
      <c r="B37" t="s">
        <v>621</v>
      </c>
      <c r="C37" t="s">
        <v>14</v>
      </c>
      <c r="D37" t="s">
        <v>8</v>
      </c>
      <c r="E37" t="s">
        <v>29</v>
      </c>
    </row>
    <row r="38" spans="1:5" x14ac:dyDescent="0.25">
      <c r="A38" t="s">
        <v>849</v>
      </c>
      <c r="B38" t="s">
        <v>621</v>
      </c>
      <c r="C38" t="s">
        <v>14</v>
      </c>
      <c r="D38" t="s">
        <v>8</v>
      </c>
      <c r="E38" t="s">
        <v>29</v>
      </c>
    </row>
    <row r="39" spans="1:5" x14ac:dyDescent="0.25">
      <c r="A39" t="s">
        <v>848</v>
      </c>
      <c r="B39" t="s">
        <v>621</v>
      </c>
      <c r="C39" t="s">
        <v>14</v>
      </c>
      <c r="D39" t="s">
        <v>11</v>
      </c>
      <c r="E39" t="s">
        <v>29</v>
      </c>
    </row>
    <row r="40" spans="1:5" x14ac:dyDescent="0.25">
      <c r="A40" t="s">
        <v>831</v>
      </c>
      <c r="B40" t="s">
        <v>621</v>
      </c>
      <c r="C40" t="s">
        <v>14</v>
      </c>
      <c r="D40" t="s">
        <v>11</v>
      </c>
      <c r="E40" t="s">
        <v>29</v>
      </c>
    </row>
    <row r="41" spans="1:5" x14ac:dyDescent="0.25">
      <c r="A41" t="s">
        <v>830</v>
      </c>
      <c r="B41" t="s">
        <v>621</v>
      </c>
      <c r="C41" t="s">
        <v>14</v>
      </c>
      <c r="D41" t="s">
        <v>11</v>
      </c>
      <c r="E41" t="s">
        <v>29</v>
      </c>
    </row>
    <row r="42" spans="1:5" x14ac:dyDescent="0.25">
      <c r="A42" t="s">
        <v>820</v>
      </c>
      <c r="B42" t="s">
        <v>621</v>
      </c>
      <c r="C42" t="s">
        <v>14</v>
      </c>
      <c r="D42" t="s">
        <v>11</v>
      </c>
      <c r="E42" t="s">
        <v>29</v>
      </c>
    </row>
    <row r="43" spans="1:5" x14ac:dyDescent="0.25">
      <c r="A43" t="s">
        <v>813</v>
      </c>
      <c r="B43" t="s">
        <v>621</v>
      </c>
      <c r="C43" t="s">
        <v>14</v>
      </c>
      <c r="D43" t="s">
        <v>11</v>
      </c>
      <c r="E43" t="s">
        <v>29</v>
      </c>
    </row>
    <row r="44" spans="1:5" x14ac:dyDescent="0.25">
      <c r="A44" t="s">
        <v>812</v>
      </c>
      <c r="B44" t="s">
        <v>621</v>
      </c>
      <c r="C44" t="s">
        <v>14</v>
      </c>
      <c r="D44" t="s">
        <v>11</v>
      </c>
      <c r="E44" t="s">
        <v>29</v>
      </c>
    </row>
    <row r="45" spans="1:5" x14ac:dyDescent="0.25">
      <c r="A45" t="s">
        <v>808</v>
      </c>
      <c r="B45" t="s">
        <v>621</v>
      </c>
      <c r="C45" t="s">
        <v>14</v>
      </c>
      <c r="D45" t="s">
        <v>11</v>
      </c>
      <c r="E45" t="s">
        <v>29</v>
      </c>
    </row>
    <row r="46" spans="1:5" x14ac:dyDescent="0.25">
      <c r="A46" t="s">
        <v>807</v>
      </c>
      <c r="B46" t="s">
        <v>621</v>
      </c>
      <c r="C46" t="s">
        <v>14</v>
      </c>
      <c r="D46" t="s">
        <v>11</v>
      </c>
      <c r="E46" t="s">
        <v>29</v>
      </c>
    </row>
    <row r="47" spans="1:5" x14ac:dyDescent="0.25">
      <c r="A47" t="s">
        <v>793</v>
      </c>
      <c r="B47" t="s">
        <v>621</v>
      </c>
      <c r="C47" t="s">
        <v>14</v>
      </c>
      <c r="D47" t="s">
        <v>11</v>
      </c>
      <c r="E47" t="s">
        <v>29</v>
      </c>
    </row>
    <row r="48" spans="1:5" x14ac:dyDescent="0.25">
      <c r="A48" t="s">
        <v>782</v>
      </c>
      <c r="B48" t="s">
        <v>621</v>
      </c>
      <c r="C48" t="s">
        <v>14</v>
      </c>
      <c r="D48" t="s">
        <v>11</v>
      </c>
      <c r="E48" t="s">
        <v>29</v>
      </c>
    </row>
    <row r="49" spans="1:5" x14ac:dyDescent="0.25">
      <c r="A49" t="s">
        <v>776</v>
      </c>
      <c r="B49" t="s">
        <v>621</v>
      </c>
      <c r="C49" t="s">
        <v>14</v>
      </c>
      <c r="D49" t="s">
        <v>11</v>
      </c>
      <c r="E49" t="s">
        <v>29</v>
      </c>
    </row>
    <row r="50" spans="1:5" x14ac:dyDescent="0.25">
      <c r="A50" t="s">
        <v>765</v>
      </c>
      <c r="B50" t="s">
        <v>621</v>
      </c>
      <c r="C50" t="s">
        <v>14</v>
      </c>
      <c r="D50" t="s">
        <v>11</v>
      </c>
      <c r="E50" t="s">
        <v>29</v>
      </c>
    </row>
    <row r="51" spans="1:5" x14ac:dyDescent="0.25">
      <c r="A51" t="s">
        <v>761</v>
      </c>
      <c r="B51" t="s">
        <v>621</v>
      </c>
      <c r="C51" t="s">
        <v>14</v>
      </c>
      <c r="D51" t="s">
        <v>11</v>
      </c>
      <c r="E51" t="s">
        <v>29</v>
      </c>
    </row>
    <row r="52" spans="1:5" x14ac:dyDescent="0.25">
      <c r="A52" t="s">
        <v>758</v>
      </c>
      <c r="B52" t="s">
        <v>621</v>
      </c>
      <c r="C52" t="s">
        <v>14</v>
      </c>
      <c r="D52" t="s">
        <v>11</v>
      </c>
      <c r="E52" t="s">
        <v>29</v>
      </c>
    </row>
    <row r="53" spans="1:5" x14ac:dyDescent="0.25">
      <c r="A53" t="s">
        <v>752</v>
      </c>
      <c r="B53" t="s">
        <v>621</v>
      </c>
      <c r="C53" t="s">
        <v>14</v>
      </c>
      <c r="D53" t="s">
        <v>11</v>
      </c>
      <c r="E53" t="s">
        <v>29</v>
      </c>
    </row>
    <row r="54" spans="1:5" x14ac:dyDescent="0.25">
      <c r="A54" t="s">
        <v>738</v>
      </c>
      <c r="B54" t="s">
        <v>621</v>
      </c>
      <c r="C54" t="s">
        <v>14</v>
      </c>
      <c r="D54" t="s">
        <v>11</v>
      </c>
      <c r="E54" t="s">
        <v>29</v>
      </c>
    </row>
    <row r="55" spans="1:5" x14ac:dyDescent="0.25">
      <c r="A55" t="s">
        <v>722</v>
      </c>
      <c r="B55" t="s">
        <v>621</v>
      </c>
      <c r="C55" t="s">
        <v>14</v>
      </c>
      <c r="D55" t="s">
        <v>11</v>
      </c>
      <c r="E55" t="s">
        <v>29</v>
      </c>
    </row>
    <row r="56" spans="1:5" x14ac:dyDescent="0.25">
      <c r="A56" t="s">
        <v>721</v>
      </c>
      <c r="B56" t="s">
        <v>621</v>
      </c>
      <c r="C56" t="s">
        <v>14</v>
      </c>
      <c r="D56" t="s">
        <v>11</v>
      </c>
      <c r="E56" t="s">
        <v>29</v>
      </c>
    </row>
    <row r="57" spans="1:5" x14ac:dyDescent="0.25">
      <c r="A57" t="s">
        <v>72</v>
      </c>
      <c r="B57" t="s">
        <v>6</v>
      </c>
      <c r="C57" t="s">
        <v>14</v>
      </c>
      <c r="D57" t="s">
        <v>11</v>
      </c>
      <c r="E57" t="s">
        <v>29</v>
      </c>
    </row>
    <row r="58" spans="1:5" x14ac:dyDescent="0.25">
      <c r="A58" t="s">
        <v>719</v>
      </c>
      <c r="B58" t="s">
        <v>621</v>
      </c>
      <c r="C58" t="s">
        <v>14</v>
      </c>
      <c r="D58" t="s">
        <v>11</v>
      </c>
      <c r="E58" t="s">
        <v>29</v>
      </c>
    </row>
    <row r="59" spans="1:5" x14ac:dyDescent="0.25">
      <c r="A59" t="s">
        <v>716</v>
      </c>
      <c r="B59" t="s">
        <v>621</v>
      </c>
      <c r="C59" t="s">
        <v>14</v>
      </c>
      <c r="D59" t="s">
        <v>8</v>
      </c>
      <c r="E59" t="s">
        <v>29</v>
      </c>
    </row>
    <row r="60" spans="1:5" x14ac:dyDescent="0.25">
      <c r="A60" t="s">
        <v>715</v>
      </c>
      <c r="B60" t="s">
        <v>621</v>
      </c>
      <c r="C60" t="s">
        <v>14</v>
      </c>
      <c r="D60" t="s">
        <v>11</v>
      </c>
      <c r="E60" t="s">
        <v>29</v>
      </c>
    </row>
    <row r="61" spans="1:5" x14ac:dyDescent="0.25">
      <c r="A61" t="s">
        <v>713</v>
      </c>
      <c r="B61" t="s">
        <v>621</v>
      </c>
      <c r="C61" t="s">
        <v>14</v>
      </c>
      <c r="D61" t="s">
        <v>8</v>
      </c>
      <c r="E61" t="s">
        <v>29</v>
      </c>
    </row>
    <row r="62" spans="1:5" x14ac:dyDescent="0.25">
      <c r="A62" t="s">
        <v>697</v>
      </c>
      <c r="B62" t="s">
        <v>621</v>
      </c>
      <c r="C62" t="s">
        <v>14</v>
      </c>
      <c r="D62" t="s">
        <v>11</v>
      </c>
      <c r="E62" t="s">
        <v>29</v>
      </c>
    </row>
    <row r="63" spans="1:5" x14ac:dyDescent="0.25">
      <c r="A63" t="s">
        <v>690</v>
      </c>
      <c r="B63" t="s">
        <v>621</v>
      </c>
      <c r="C63" t="s">
        <v>14</v>
      </c>
      <c r="D63" t="s">
        <v>11</v>
      </c>
      <c r="E63" t="s">
        <v>29</v>
      </c>
    </row>
    <row r="64" spans="1:5" x14ac:dyDescent="0.25">
      <c r="A64" t="s">
        <v>686</v>
      </c>
      <c r="B64" t="s">
        <v>621</v>
      </c>
      <c r="C64" t="s">
        <v>14</v>
      </c>
      <c r="D64" t="s">
        <v>8</v>
      </c>
      <c r="E64" t="s">
        <v>29</v>
      </c>
    </row>
    <row r="65" spans="1:5" x14ac:dyDescent="0.25">
      <c r="A65" t="s">
        <v>671</v>
      </c>
      <c r="B65" t="s">
        <v>621</v>
      </c>
      <c r="C65" t="s">
        <v>14</v>
      </c>
      <c r="D65" t="s">
        <v>8</v>
      </c>
      <c r="E65" t="s">
        <v>29</v>
      </c>
    </row>
    <row r="66" spans="1:5" x14ac:dyDescent="0.25">
      <c r="A66" t="s">
        <v>663</v>
      </c>
      <c r="B66" t="s">
        <v>621</v>
      </c>
      <c r="C66" t="s">
        <v>14</v>
      </c>
      <c r="D66" t="s">
        <v>11</v>
      </c>
      <c r="E66" t="s">
        <v>29</v>
      </c>
    </row>
    <row r="67" spans="1:5" x14ac:dyDescent="0.25">
      <c r="A67" t="s">
        <v>657</v>
      </c>
      <c r="B67" t="s">
        <v>621</v>
      </c>
      <c r="C67" t="s">
        <v>14</v>
      </c>
      <c r="D67" t="s">
        <v>8</v>
      </c>
      <c r="E67" t="s">
        <v>29</v>
      </c>
    </row>
    <row r="68" spans="1:5" x14ac:dyDescent="0.25">
      <c r="A68" t="s">
        <v>649</v>
      </c>
      <c r="B68" t="s">
        <v>621</v>
      </c>
      <c r="C68" t="s">
        <v>14</v>
      </c>
      <c r="D68" t="s">
        <v>8</v>
      </c>
      <c r="E68" t="s">
        <v>29</v>
      </c>
    </row>
    <row r="69" spans="1:5" x14ac:dyDescent="0.25">
      <c r="A69" t="s">
        <v>640</v>
      </c>
      <c r="B69" t="s">
        <v>621</v>
      </c>
      <c r="C69" t="s">
        <v>14</v>
      </c>
      <c r="D69" t="s">
        <v>11</v>
      </c>
      <c r="E69" t="s">
        <v>29</v>
      </c>
    </row>
    <row r="70" spans="1:5" x14ac:dyDescent="0.25">
      <c r="A70" t="s">
        <v>623</v>
      </c>
      <c r="B70" t="s">
        <v>621</v>
      </c>
      <c r="C70" t="s">
        <v>14</v>
      </c>
      <c r="D70" t="s">
        <v>11</v>
      </c>
      <c r="E70" t="s">
        <v>29</v>
      </c>
    </row>
    <row r="71" spans="1:5" x14ac:dyDescent="0.25">
      <c r="A71" t="s">
        <v>622</v>
      </c>
      <c r="B71" t="s">
        <v>621</v>
      </c>
      <c r="C71" t="s">
        <v>14</v>
      </c>
      <c r="D71" t="s">
        <v>11</v>
      </c>
      <c r="E71" t="s">
        <v>29</v>
      </c>
    </row>
    <row r="72" spans="1:5" x14ac:dyDescent="0.25">
      <c r="A72" t="s">
        <v>589</v>
      </c>
      <c r="B72" t="s">
        <v>343</v>
      </c>
      <c r="C72" t="s">
        <v>14</v>
      </c>
      <c r="D72" t="s">
        <v>11</v>
      </c>
      <c r="E72" t="s">
        <v>29</v>
      </c>
    </row>
    <row r="73" spans="1:5" x14ac:dyDescent="0.25">
      <c r="A73" t="s">
        <v>588</v>
      </c>
      <c r="B73" t="s">
        <v>343</v>
      </c>
      <c r="C73" t="s">
        <v>14</v>
      </c>
      <c r="D73" t="s">
        <v>11</v>
      </c>
      <c r="E73" t="s">
        <v>29</v>
      </c>
    </row>
    <row r="74" spans="1:5" x14ac:dyDescent="0.25">
      <c r="A74" t="s">
        <v>572</v>
      </c>
      <c r="B74" t="s">
        <v>343</v>
      </c>
      <c r="C74" t="s">
        <v>14</v>
      </c>
      <c r="D74" t="s">
        <v>11</v>
      </c>
      <c r="E74" t="s">
        <v>29</v>
      </c>
    </row>
    <row r="75" spans="1:5" x14ac:dyDescent="0.25">
      <c r="A75" t="s">
        <v>550</v>
      </c>
      <c r="B75" t="s">
        <v>343</v>
      </c>
      <c r="C75" t="s">
        <v>14</v>
      </c>
      <c r="D75" t="s">
        <v>11</v>
      </c>
      <c r="E75" t="s">
        <v>29</v>
      </c>
    </row>
    <row r="76" spans="1:5" x14ac:dyDescent="0.25">
      <c r="A76" t="s">
        <v>538</v>
      </c>
      <c r="B76" t="s">
        <v>343</v>
      </c>
      <c r="C76" t="s">
        <v>14</v>
      </c>
      <c r="D76" t="s">
        <v>11</v>
      </c>
      <c r="E76" t="s">
        <v>29</v>
      </c>
    </row>
    <row r="77" spans="1:5" x14ac:dyDescent="0.25">
      <c r="A77" t="s">
        <v>530</v>
      </c>
      <c r="B77" t="s">
        <v>343</v>
      </c>
      <c r="C77" t="s">
        <v>14</v>
      </c>
      <c r="D77" t="s">
        <v>11</v>
      </c>
      <c r="E77" t="s">
        <v>29</v>
      </c>
    </row>
    <row r="78" spans="1:5" x14ac:dyDescent="0.25">
      <c r="A78" t="s">
        <v>465</v>
      </c>
      <c r="B78" t="s">
        <v>343</v>
      </c>
      <c r="C78" t="s">
        <v>14</v>
      </c>
      <c r="D78" t="s">
        <v>8</v>
      </c>
      <c r="E78" t="s">
        <v>29</v>
      </c>
    </row>
    <row r="79" spans="1:5" x14ac:dyDescent="0.25">
      <c r="A79" t="s">
        <v>436</v>
      </c>
      <c r="B79" t="s">
        <v>343</v>
      </c>
      <c r="C79" t="s">
        <v>14</v>
      </c>
      <c r="D79" t="s">
        <v>11</v>
      </c>
      <c r="E79" t="s">
        <v>29</v>
      </c>
    </row>
    <row r="80" spans="1:5" x14ac:dyDescent="0.25">
      <c r="A80" t="s">
        <v>428</v>
      </c>
      <c r="B80" t="s">
        <v>343</v>
      </c>
      <c r="C80" t="s">
        <v>14</v>
      </c>
      <c r="D80" t="s">
        <v>11</v>
      </c>
      <c r="E80" t="s">
        <v>29</v>
      </c>
    </row>
    <row r="81" spans="1:5" x14ac:dyDescent="0.25">
      <c r="A81" t="s">
        <v>425</v>
      </c>
      <c r="B81" t="s">
        <v>343</v>
      </c>
      <c r="C81" t="s">
        <v>14</v>
      </c>
      <c r="D81" t="s">
        <v>11</v>
      </c>
      <c r="E81" t="s">
        <v>29</v>
      </c>
    </row>
    <row r="82" spans="1:5" x14ac:dyDescent="0.25">
      <c r="A82" t="s">
        <v>414</v>
      </c>
      <c r="B82" t="s">
        <v>343</v>
      </c>
      <c r="C82" t="s">
        <v>14</v>
      </c>
      <c r="D82" t="s">
        <v>11</v>
      </c>
      <c r="E82" t="s">
        <v>29</v>
      </c>
    </row>
    <row r="83" spans="1:5" x14ac:dyDescent="0.25">
      <c r="A83" t="s">
        <v>410</v>
      </c>
      <c r="B83" t="s">
        <v>343</v>
      </c>
      <c r="C83" t="s">
        <v>14</v>
      </c>
      <c r="D83" t="s">
        <v>11</v>
      </c>
      <c r="E83" t="s">
        <v>29</v>
      </c>
    </row>
    <row r="84" spans="1:5" x14ac:dyDescent="0.25">
      <c r="A84" t="s">
        <v>406</v>
      </c>
      <c r="B84" t="s">
        <v>343</v>
      </c>
      <c r="C84" t="s">
        <v>14</v>
      </c>
      <c r="D84" t="s">
        <v>11</v>
      </c>
      <c r="E84" t="s">
        <v>29</v>
      </c>
    </row>
    <row r="85" spans="1:5" x14ac:dyDescent="0.25">
      <c r="A85" t="s">
        <v>384</v>
      </c>
      <c r="B85" t="s">
        <v>343</v>
      </c>
      <c r="C85" t="s">
        <v>14</v>
      </c>
      <c r="D85" t="s">
        <v>11</v>
      </c>
      <c r="E85" t="s">
        <v>29</v>
      </c>
    </row>
    <row r="86" spans="1:5" x14ac:dyDescent="0.25">
      <c r="A86" t="s">
        <v>351</v>
      </c>
      <c r="B86" t="s">
        <v>343</v>
      </c>
      <c r="C86" t="s">
        <v>14</v>
      </c>
      <c r="D86" t="s">
        <v>11</v>
      </c>
      <c r="E86" t="s">
        <v>29</v>
      </c>
    </row>
    <row r="87" spans="1:5" x14ac:dyDescent="0.25">
      <c r="A87" t="s">
        <v>346</v>
      </c>
      <c r="B87" t="s">
        <v>343</v>
      </c>
      <c r="C87" t="s">
        <v>14</v>
      </c>
      <c r="D87" t="s">
        <v>11</v>
      </c>
      <c r="E87" t="s">
        <v>29</v>
      </c>
    </row>
    <row r="88" spans="1:5" x14ac:dyDescent="0.25">
      <c r="A88" t="s">
        <v>247</v>
      </c>
      <c r="B88" t="s">
        <v>6</v>
      </c>
      <c r="C88" t="s">
        <v>14</v>
      </c>
      <c r="D88" t="s">
        <v>11</v>
      </c>
      <c r="E88" t="s">
        <v>29</v>
      </c>
    </row>
    <row r="89" spans="1:5" x14ac:dyDescent="0.25">
      <c r="A89" t="s">
        <v>216</v>
      </c>
      <c r="B89" t="s">
        <v>6</v>
      </c>
      <c r="C89" t="s">
        <v>14</v>
      </c>
      <c r="D89" t="s">
        <v>11</v>
      </c>
      <c r="E89" t="s">
        <v>29</v>
      </c>
    </row>
    <row r="90" spans="1:5" x14ac:dyDescent="0.25">
      <c r="A90" t="s">
        <v>133</v>
      </c>
      <c r="B90" t="s">
        <v>6</v>
      </c>
      <c r="C90" t="s">
        <v>14</v>
      </c>
      <c r="D90" t="s">
        <v>11</v>
      </c>
      <c r="E90" t="s">
        <v>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A36F5-2286-4A73-88E7-D46860BA2426}">
  <dimension ref="A3:G16"/>
  <sheetViews>
    <sheetView zoomScale="130" zoomScaleNormal="130" workbookViewId="0">
      <selection activeCell="B14" sqref="B14"/>
    </sheetView>
  </sheetViews>
  <sheetFormatPr defaultRowHeight="15" x14ac:dyDescent="0.25"/>
  <cols>
    <col min="1" max="1" width="13.42578125" bestFit="1" customWidth="1"/>
    <col min="2" max="2" width="14.42578125" bestFit="1" customWidth="1"/>
  </cols>
  <sheetData>
    <row r="3" spans="1:7" x14ac:dyDescent="0.25">
      <c r="A3" s="1" t="s">
        <v>1331</v>
      </c>
      <c r="B3" t="s">
        <v>1330</v>
      </c>
    </row>
    <row r="4" spans="1:7" x14ac:dyDescent="0.25">
      <c r="A4" s="2" t="s">
        <v>14</v>
      </c>
      <c r="B4" s="6">
        <v>809</v>
      </c>
      <c r="E4" s="2" t="s">
        <v>14</v>
      </c>
      <c r="F4" s="2">
        <v>809</v>
      </c>
      <c r="G4" s="8">
        <f>809/1309</f>
        <v>0.61802902979373564</v>
      </c>
    </row>
    <row r="5" spans="1:7" x14ac:dyDescent="0.25">
      <c r="A5" s="2" t="s">
        <v>7</v>
      </c>
      <c r="B5" s="6">
        <v>500</v>
      </c>
      <c r="E5" s="2" t="s">
        <v>7</v>
      </c>
      <c r="F5" s="6">
        <v>500</v>
      </c>
      <c r="G5" s="8">
        <v>0.3819709702062643</v>
      </c>
    </row>
    <row r="6" spans="1:7" x14ac:dyDescent="0.25">
      <c r="A6" s="2" t="s">
        <v>1332</v>
      </c>
      <c r="B6" s="6">
        <v>1309</v>
      </c>
      <c r="F6" s="7">
        <f>1309</f>
        <v>1309</v>
      </c>
    </row>
    <row r="13" spans="1:7" x14ac:dyDescent="0.25">
      <c r="A13" s="1" t="s">
        <v>1331</v>
      </c>
      <c r="B13" t="s">
        <v>1330</v>
      </c>
    </row>
    <row r="14" spans="1:7" x14ac:dyDescent="0.25">
      <c r="A14" s="2" t="s">
        <v>14</v>
      </c>
      <c r="B14" s="6">
        <v>809</v>
      </c>
    </row>
    <row r="15" spans="1:7" x14ac:dyDescent="0.25">
      <c r="A15" s="2" t="s">
        <v>7</v>
      </c>
      <c r="B15" s="6">
        <v>500</v>
      </c>
    </row>
    <row r="16" spans="1:7" x14ac:dyDescent="0.25">
      <c r="A16" s="2" t="s">
        <v>1332</v>
      </c>
      <c r="B16" s="6">
        <v>1309</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7C3D7-3699-46CD-A4D8-01A0D58F9DAD}">
  <dimension ref="A3:D87"/>
  <sheetViews>
    <sheetView workbookViewId="0">
      <selection activeCell="G33" sqref="G33"/>
    </sheetView>
  </sheetViews>
  <sheetFormatPr defaultRowHeight="15" x14ac:dyDescent="0.25"/>
  <cols>
    <col min="1" max="1" width="14.42578125" bestFit="1" customWidth="1"/>
    <col min="2" max="2" width="16.85546875" bestFit="1" customWidth="1"/>
    <col min="3" max="3" width="8.85546875" bestFit="1" customWidth="1"/>
    <col min="4" max="4" width="11.28515625" bestFit="1" customWidth="1"/>
    <col min="5" max="9" width="11" bestFit="1" customWidth="1"/>
    <col min="10" max="10" width="17.7109375" bestFit="1" customWidth="1"/>
    <col min="11" max="11" width="10.7109375" bestFit="1" customWidth="1"/>
    <col min="12" max="19" width="11" bestFit="1" customWidth="1"/>
    <col min="20" max="20" width="13.85546875" bestFit="1" customWidth="1"/>
    <col min="21" max="21" width="11.28515625" bestFit="1" customWidth="1"/>
  </cols>
  <sheetData>
    <row r="3" spans="1:2" x14ac:dyDescent="0.25">
      <c r="A3" s="1" t="s">
        <v>1331</v>
      </c>
      <c r="B3" t="s">
        <v>1330</v>
      </c>
    </row>
    <row r="4" spans="1:2" x14ac:dyDescent="0.25">
      <c r="A4" s="2" t="s">
        <v>621</v>
      </c>
      <c r="B4" s="6">
        <v>709</v>
      </c>
    </row>
    <row r="5" spans="1:2" x14ac:dyDescent="0.25">
      <c r="A5" s="2" t="s">
        <v>6</v>
      </c>
      <c r="B5" s="6">
        <v>323</v>
      </c>
    </row>
    <row r="6" spans="1:2" x14ac:dyDescent="0.25">
      <c r="A6" s="2" t="s">
        <v>343</v>
      </c>
      <c r="B6" s="6">
        <v>277</v>
      </c>
    </row>
    <row r="7" spans="1:2" x14ac:dyDescent="0.25">
      <c r="A7" s="2" t="s">
        <v>1332</v>
      </c>
      <c r="B7" s="6">
        <v>1309</v>
      </c>
    </row>
    <row r="21" spans="1:4" x14ac:dyDescent="0.25">
      <c r="A21" s="1" t="s">
        <v>1330</v>
      </c>
      <c r="B21" s="1" t="s">
        <v>1333</v>
      </c>
    </row>
    <row r="22" spans="1:4" x14ac:dyDescent="0.25">
      <c r="A22" s="1" t="s">
        <v>1331</v>
      </c>
      <c r="B22" t="s">
        <v>14</v>
      </c>
      <c r="C22" t="s">
        <v>7</v>
      </c>
      <c r="D22" t="s">
        <v>1332</v>
      </c>
    </row>
    <row r="23" spans="1:4" x14ac:dyDescent="0.25">
      <c r="A23" s="2" t="s">
        <v>6</v>
      </c>
      <c r="B23" s="6">
        <v>123</v>
      </c>
      <c r="C23" s="6">
        <v>200</v>
      </c>
      <c r="D23" s="6">
        <v>323</v>
      </c>
    </row>
    <row r="24" spans="1:4" x14ac:dyDescent="0.25">
      <c r="A24" s="2" t="s">
        <v>621</v>
      </c>
      <c r="B24" s="6">
        <v>528</v>
      </c>
      <c r="C24" s="6">
        <v>181</v>
      </c>
      <c r="D24" s="6">
        <v>709</v>
      </c>
    </row>
    <row r="25" spans="1:4" x14ac:dyDescent="0.25">
      <c r="A25" s="2" t="s">
        <v>343</v>
      </c>
      <c r="B25" s="6">
        <v>158</v>
      </c>
      <c r="C25" s="6">
        <v>119</v>
      </c>
      <c r="D25" s="6">
        <v>277</v>
      </c>
    </row>
    <row r="26" spans="1:4" x14ac:dyDescent="0.25">
      <c r="A26" s="2" t="s">
        <v>1332</v>
      </c>
      <c r="B26" s="6">
        <v>809</v>
      </c>
      <c r="C26" s="6">
        <v>500</v>
      </c>
      <c r="D26" s="6">
        <v>1309</v>
      </c>
    </row>
    <row r="37" spans="1:4" x14ac:dyDescent="0.25">
      <c r="A37" s="1" t="s">
        <v>1330</v>
      </c>
      <c r="B37" s="1" t="s">
        <v>1333</v>
      </c>
    </row>
    <row r="38" spans="1:4" x14ac:dyDescent="0.25">
      <c r="A38" s="1" t="s">
        <v>1331</v>
      </c>
      <c r="B38" t="s">
        <v>14</v>
      </c>
      <c r="C38" t="s">
        <v>7</v>
      </c>
      <c r="D38" t="s">
        <v>1332</v>
      </c>
    </row>
    <row r="39" spans="1:4" x14ac:dyDescent="0.25">
      <c r="A39" s="2" t="s">
        <v>6</v>
      </c>
      <c r="B39" s="3">
        <v>0.38080495356037153</v>
      </c>
      <c r="C39" s="3">
        <v>0.61919504643962853</v>
      </c>
      <c r="D39" s="3">
        <v>1</v>
      </c>
    </row>
    <row r="40" spans="1:4" x14ac:dyDescent="0.25">
      <c r="A40" s="4" t="s">
        <v>8</v>
      </c>
      <c r="B40" s="3">
        <v>3.4722222222222224E-2</v>
      </c>
      <c r="C40" s="3">
        <v>0.96527777777777779</v>
      </c>
      <c r="D40" s="3">
        <v>1</v>
      </c>
    </row>
    <row r="41" spans="1:4" x14ac:dyDescent="0.25">
      <c r="A41" s="4" t="s">
        <v>11</v>
      </c>
      <c r="B41" s="3">
        <v>0.65921787709497204</v>
      </c>
      <c r="C41" s="3">
        <v>0.34078212290502791</v>
      </c>
      <c r="D41" s="3">
        <v>1</v>
      </c>
    </row>
    <row r="42" spans="1:4" x14ac:dyDescent="0.25">
      <c r="A42" s="2" t="s">
        <v>621</v>
      </c>
      <c r="B42" s="3">
        <v>0.74471086036671363</v>
      </c>
      <c r="C42" s="3">
        <v>0.25528913963328631</v>
      </c>
      <c r="D42" s="3">
        <v>1</v>
      </c>
    </row>
    <row r="43" spans="1:4" x14ac:dyDescent="0.25">
      <c r="A43" s="4" t="s">
        <v>8</v>
      </c>
      <c r="B43" s="3">
        <v>0.5092592592592593</v>
      </c>
      <c r="C43" s="3">
        <v>0.49074074074074076</v>
      </c>
      <c r="D43" s="3">
        <v>1</v>
      </c>
    </row>
    <row r="44" spans="1:4" x14ac:dyDescent="0.25">
      <c r="A44" s="4" t="s">
        <v>11</v>
      </c>
      <c r="B44" s="3">
        <v>0.84787018255578095</v>
      </c>
      <c r="C44" s="3">
        <v>0.15212981744421908</v>
      </c>
      <c r="D44" s="3">
        <v>1</v>
      </c>
    </row>
    <row r="45" spans="1:4" x14ac:dyDescent="0.25">
      <c r="A45" s="2" t="s">
        <v>343</v>
      </c>
      <c r="B45" s="3">
        <v>0.5703971119133574</v>
      </c>
      <c r="C45" s="3">
        <v>0.4296028880866426</v>
      </c>
      <c r="D45" s="3">
        <v>1</v>
      </c>
    </row>
    <row r="46" spans="1:4" x14ac:dyDescent="0.25">
      <c r="A46" s="4" t="s">
        <v>8</v>
      </c>
      <c r="B46" s="3">
        <v>0.11320754716981132</v>
      </c>
      <c r="C46" s="3">
        <v>0.8867924528301887</v>
      </c>
      <c r="D46" s="3">
        <v>1</v>
      </c>
    </row>
    <row r="47" spans="1:4" x14ac:dyDescent="0.25">
      <c r="A47" s="4" t="s">
        <v>11</v>
      </c>
      <c r="B47" s="3">
        <v>0.85380116959064323</v>
      </c>
      <c r="C47" s="3">
        <v>0.14619883040935672</v>
      </c>
      <c r="D47" s="3">
        <v>1</v>
      </c>
    </row>
    <row r="48" spans="1:4" x14ac:dyDescent="0.25">
      <c r="A48" s="2" t="s">
        <v>1332</v>
      </c>
      <c r="B48" s="3">
        <v>0.61802902979373564</v>
      </c>
      <c r="C48" s="3">
        <v>0.3819709702062643</v>
      </c>
      <c r="D48" s="3">
        <v>1</v>
      </c>
    </row>
    <row r="57" spans="1:4" x14ac:dyDescent="0.25">
      <c r="A57" s="1" t="s">
        <v>1330</v>
      </c>
      <c r="B57" s="1" t="s">
        <v>1333</v>
      </c>
    </row>
    <row r="58" spans="1:4" x14ac:dyDescent="0.25">
      <c r="A58" s="1" t="s">
        <v>1331</v>
      </c>
      <c r="B58" t="s">
        <v>14</v>
      </c>
      <c r="C58" t="s">
        <v>7</v>
      </c>
      <c r="D58" t="s">
        <v>1332</v>
      </c>
    </row>
    <row r="59" spans="1:4" x14ac:dyDescent="0.25">
      <c r="A59" s="2" t="s">
        <v>6</v>
      </c>
      <c r="B59" s="3">
        <v>0.38080495356037153</v>
      </c>
      <c r="C59" s="3">
        <v>0.61919504643962853</v>
      </c>
      <c r="D59" s="3">
        <v>1</v>
      </c>
    </row>
    <row r="60" spans="1:4" x14ac:dyDescent="0.25">
      <c r="A60" s="4" t="s">
        <v>12</v>
      </c>
      <c r="B60" s="3">
        <v>0.25</v>
      </c>
      <c r="C60" s="3">
        <v>0.75</v>
      </c>
      <c r="D60" s="3">
        <v>1</v>
      </c>
    </row>
    <row r="61" spans="1:4" x14ac:dyDescent="0.25">
      <c r="A61" s="4" t="s">
        <v>29</v>
      </c>
      <c r="B61" s="3">
        <v>0.18181818181818182</v>
      </c>
      <c r="C61" s="3">
        <v>0.81818181818181823</v>
      </c>
      <c r="D61" s="3">
        <v>1</v>
      </c>
    </row>
    <row r="62" spans="1:4" x14ac:dyDescent="0.25">
      <c r="A62" s="4" t="s">
        <v>9</v>
      </c>
      <c r="B62" s="3">
        <v>0.38461538461538464</v>
      </c>
      <c r="C62" s="3">
        <v>0.61538461538461542</v>
      </c>
      <c r="D62" s="3">
        <v>1</v>
      </c>
    </row>
    <row r="63" spans="1:4" x14ac:dyDescent="0.25">
      <c r="A63" s="4" t="s">
        <v>16</v>
      </c>
      <c r="B63" s="3">
        <v>0.29166666666666669</v>
      </c>
      <c r="C63" s="3">
        <v>0.70833333333333337</v>
      </c>
      <c r="D63" s="3">
        <v>1</v>
      </c>
    </row>
    <row r="64" spans="1:4" x14ac:dyDescent="0.25">
      <c r="A64" s="4" t="s">
        <v>19</v>
      </c>
      <c r="B64" s="3">
        <v>0.43548387096774194</v>
      </c>
      <c r="C64" s="3">
        <v>0.56451612903225812</v>
      </c>
      <c r="D64" s="3">
        <v>1</v>
      </c>
    </row>
    <row r="65" spans="1:4" x14ac:dyDescent="0.25">
      <c r="A65" s="4" t="s">
        <v>24</v>
      </c>
      <c r="B65" s="3">
        <v>0.41304347826086957</v>
      </c>
      <c r="C65" s="3">
        <v>0.58695652173913049</v>
      </c>
      <c r="D65" s="3">
        <v>1</v>
      </c>
    </row>
    <row r="66" spans="1:4" x14ac:dyDescent="0.25">
      <c r="A66" s="4" t="s">
        <v>21</v>
      </c>
      <c r="B66" s="3">
        <v>0.61904761904761907</v>
      </c>
      <c r="C66" s="3">
        <v>0.38095238095238093</v>
      </c>
      <c r="D66" s="3">
        <v>1</v>
      </c>
    </row>
    <row r="67" spans="1:4" x14ac:dyDescent="0.25">
      <c r="A67" s="4" t="s">
        <v>26</v>
      </c>
      <c r="B67" s="3">
        <v>0.75</v>
      </c>
      <c r="C67" s="3">
        <v>0.25</v>
      </c>
      <c r="D67" s="3">
        <v>1</v>
      </c>
    </row>
    <row r="68" spans="1:4" x14ac:dyDescent="0.25">
      <c r="A68" s="4" t="s">
        <v>33</v>
      </c>
      <c r="B68" s="3">
        <v>0</v>
      </c>
      <c r="C68" s="3">
        <v>1</v>
      </c>
      <c r="D68" s="3">
        <v>1</v>
      </c>
    </row>
    <row r="69" spans="1:4" x14ac:dyDescent="0.25">
      <c r="A69" s="2" t="s">
        <v>621</v>
      </c>
      <c r="B69" s="3">
        <v>0.74471086036671363</v>
      </c>
      <c r="C69" s="3">
        <v>0.25528913963328631</v>
      </c>
      <c r="D69" s="3">
        <v>1</v>
      </c>
    </row>
    <row r="70" spans="1:4" x14ac:dyDescent="0.25">
      <c r="A70" s="4" t="s">
        <v>12</v>
      </c>
      <c r="B70" s="3">
        <v>0.5535714285714286</v>
      </c>
      <c r="C70" s="3">
        <v>0.44642857142857145</v>
      </c>
      <c r="D70" s="3">
        <v>1</v>
      </c>
    </row>
    <row r="71" spans="1:4" x14ac:dyDescent="0.25">
      <c r="A71" s="4" t="s">
        <v>29</v>
      </c>
      <c r="B71" s="3">
        <v>0.72826086956521741</v>
      </c>
      <c r="C71" s="3">
        <v>0.27173913043478259</v>
      </c>
      <c r="D71" s="3">
        <v>1</v>
      </c>
    </row>
    <row r="72" spans="1:4" x14ac:dyDescent="0.25">
      <c r="A72" s="4" t="s">
        <v>9</v>
      </c>
      <c r="B72" s="3">
        <v>0.75121951219512195</v>
      </c>
      <c r="C72" s="3">
        <v>0.24878048780487805</v>
      </c>
      <c r="D72" s="3">
        <v>1</v>
      </c>
    </row>
    <row r="73" spans="1:4" x14ac:dyDescent="0.25">
      <c r="A73" s="4" t="s">
        <v>16</v>
      </c>
      <c r="B73" s="3">
        <v>0.76041666666666663</v>
      </c>
      <c r="C73" s="3">
        <v>0.23958333333333334</v>
      </c>
      <c r="D73" s="3">
        <v>1</v>
      </c>
    </row>
    <row r="74" spans="1:4" x14ac:dyDescent="0.25">
      <c r="A74" s="4" t="s">
        <v>19</v>
      </c>
      <c r="B74" s="3">
        <v>0.88095238095238093</v>
      </c>
      <c r="C74" s="3">
        <v>0.11904761904761904</v>
      </c>
      <c r="D74" s="3">
        <v>1</v>
      </c>
    </row>
    <row r="75" spans="1:4" x14ac:dyDescent="0.25">
      <c r="A75" s="4" t="s">
        <v>24</v>
      </c>
      <c r="B75" s="3">
        <v>1</v>
      </c>
      <c r="C75" s="3">
        <v>0</v>
      </c>
      <c r="D75" s="3">
        <v>1</v>
      </c>
    </row>
    <row r="76" spans="1:4" x14ac:dyDescent="0.25">
      <c r="A76" s="4" t="s">
        <v>21</v>
      </c>
      <c r="B76" s="3">
        <v>0.75</v>
      </c>
      <c r="C76" s="3">
        <v>0.25</v>
      </c>
      <c r="D76" s="3">
        <v>1</v>
      </c>
    </row>
    <row r="77" spans="1:4" x14ac:dyDescent="0.25">
      <c r="A77" s="4" t="s">
        <v>26</v>
      </c>
      <c r="B77" s="3">
        <v>1</v>
      </c>
      <c r="C77" s="3">
        <v>0</v>
      </c>
      <c r="D77" s="3">
        <v>1</v>
      </c>
    </row>
    <row r="78" spans="1:4" x14ac:dyDescent="0.25">
      <c r="A78" s="2" t="s">
        <v>343</v>
      </c>
      <c r="B78" s="3">
        <v>0.5703971119133574</v>
      </c>
      <c r="C78" s="3">
        <v>0.4296028880866426</v>
      </c>
      <c r="D78" s="3">
        <v>1</v>
      </c>
    </row>
    <row r="79" spans="1:4" x14ac:dyDescent="0.25">
      <c r="A79" s="4" t="s">
        <v>12</v>
      </c>
      <c r="B79" s="3">
        <v>0</v>
      </c>
      <c r="C79" s="3">
        <v>1</v>
      </c>
      <c r="D79" s="3">
        <v>1</v>
      </c>
    </row>
    <row r="80" spans="1:4" x14ac:dyDescent="0.25">
      <c r="A80" s="4" t="s">
        <v>29</v>
      </c>
      <c r="B80" s="3">
        <v>0.55172413793103448</v>
      </c>
      <c r="C80" s="3">
        <v>0.44827586206896552</v>
      </c>
      <c r="D80" s="3">
        <v>1</v>
      </c>
    </row>
    <row r="81" spans="1:4" x14ac:dyDescent="0.25">
      <c r="A81" s="4" t="s">
        <v>9</v>
      </c>
      <c r="B81" s="3">
        <v>0.60377358490566035</v>
      </c>
      <c r="C81" s="3">
        <v>0.39622641509433965</v>
      </c>
      <c r="D81" s="3">
        <v>1</v>
      </c>
    </row>
    <row r="82" spans="1:4" x14ac:dyDescent="0.25">
      <c r="A82" s="4" t="s">
        <v>16</v>
      </c>
      <c r="B82" s="3">
        <v>0.625</v>
      </c>
      <c r="C82" s="3">
        <v>0.375</v>
      </c>
      <c r="D82" s="3">
        <v>1</v>
      </c>
    </row>
    <row r="83" spans="1:4" x14ac:dyDescent="0.25">
      <c r="A83" s="4" t="s">
        <v>19</v>
      </c>
      <c r="B83" s="3">
        <v>0.61290322580645162</v>
      </c>
      <c r="C83" s="3">
        <v>0.38709677419354838</v>
      </c>
      <c r="D83" s="3">
        <v>1</v>
      </c>
    </row>
    <row r="84" spans="1:4" x14ac:dyDescent="0.25">
      <c r="A84" s="4" t="s">
        <v>24</v>
      </c>
      <c r="B84" s="3">
        <v>0.70588235294117652</v>
      </c>
      <c r="C84" s="3">
        <v>0.29411764705882354</v>
      </c>
      <c r="D84" s="3">
        <v>1</v>
      </c>
    </row>
    <row r="85" spans="1:4" x14ac:dyDescent="0.25">
      <c r="A85" s="4" t="s">
        <v>21</v>
      </c>
      <c r="B85" s="3">
        <v>0.8571428571428571</v>
      </c>
      <c r="C85" s="3">
        <v>0.14285714285714285</v>
      </c>
      <c r="D85" s="3">
        <v>1</v>
      </c>
    </row>
    <row r="86" spans="1:4" x14ac:dyDescent="0.25">
      <c r="A86" s="4" t="s">
        <v>26</v>
      </c>
      <c r="B86" s="3">
        <v>1</v>
      </c>
      <c r="C86" s="3">
        <v>0</v>
      </c>
      <c r="D86" s="3">
        <v>1</v>
      </c>
    </row>
    <row r="87" spans="1:4" x14ac:dyDescent="0.25">
      <c r="A87" s="2" t="s">
        <v>1332</v>
      </c>
      <c r="B87" s="3">
        <v>0.61802902979373564</v>
      </c>
      <c r="C87" s="3">
        <v>0.3819709702062643</v>
      </c>
      <c r="D87" s="3">
        <v>1</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7D395-571E-4185-ADAB-1B17981CD335}">
  <dimension ref="A3:A4"/>
  <sheetViews>
    <sheetView workbookViewId="0">
      <selection activeCell="F9" sqref="F9"/>
    </sheetView>
  </sheetViews>
  <sheetFormatPr defaultRowHeight="15" x14ac:dyDescent="0.25"/>
  <cols>
    <col min="1" max="1" width="14.42578125" bestFit="1" customWidth="1"/>
  </cols>
  <sheetData>
    <row r="3" spans="1:1" x14ac:dyDescent="0.25">
      <c r="A3" t="s">
        <v>1330</v>
      </c>
    </row>
    <row r="4" spans="1:1" x14ac:dyDescent="0.25">
      <c r="A4" s="6">
        <v>1309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AFA49-CC16-49CD-B7FC-FA5486CFF704}">
  <dimension ref="A3:D30"/>
  <sheetViews>
    <sheetView workbookViewId="0">
      <selection activeCell="B5" sqref="B5"/>
    </sheetView>
  </sheetViews>
  <sheetFormatPr defaultRowHeight="15" x14ac:dyDescent="0.25"/>
  <cols>
    <col min="1" max="1" width="14.42578125" bestFit="1" customWidth="1"/>
    <col min="2" max="2" width="16.85546875" bestFit="1" customWidth="1"/>
    <col min="3" max="3" width="8.85546875" bestFit="1" customWidth="1"/>
    <col min="4" max="4" width="11.28515625" bestFit="1" customWidth="1"/>
  </cols>
  <sheetData>
    <row r="3" spans="1:2" x14ac:dyDescent="0.25">
      <c r="A3" s="1" t="s">
        <v>1331</v>
      </c>
      <c r="B3" t="s">
        <v>1330</v>
      </c>
    </row>
    <row r="4" spans="1:2" x14ac:dyDescent="0.25">
      <c r="A4" s="2" t="s">
        <v>8</v>
      </c>
      <c r="B4" s="6">
        <v>466</v>
      </c>
    </row>
    <row r="5" spans="1:2" x14ac:dyDescent="0.25">
      <c r="A5" s="2" t="s">
        <v>11</v>
      </c>
      <c r="B5" s="6">
        <v>843</v>
      </c>
    </row>
    <row r="6" spans="1:2" x14ac:dyDescent="0.25">
      <c r="A6" s="2" t="s">
        <v>1332</v>
      </c>
      <c r="B6" s="6">
        <v>1309</v>
      </c>
    </row>
    <row r="26" spans="1:4" x14ac:dyDescent="0.25">
      <c r="A26" s="1" t="s">
        <v>1330</v>
      </c>
      <c r="B26" s="1" t="s">
        <v>1333</v>
      </c>
    </row>
    <row r="27" spans="1:4" x14ac:dyDescent="0.25">
      <c r="A27" s="1" t="s">
        <v>1331</v>
      </c>
      <c r="B27" t="s">
        <v>14</v>
      </c>
      <c r="C27" t="s">
        <v>7</v>
      </c>
      <c r="D27" t="s">
        <v>1332</v>
      </c>
    </row>
    <row r="28" spans="1:4" x14ac:dyDescent="0.25">
      <c r="A28" s="2" t="s">
        <v>8</v>
      </c>
      <c r="B28" s="3">
        <v>0.27253218884120173</v>
      </c>
      <c r="C28" s="3">
        <v>0.72746781115879833</v>
      </c>
      <c r="D28" s="3">
        <v>1</v>
      </c>
    </row>
    <row r="29" spans="1:4" x14ac:dyDescent="0.25">
      <c r="A29" s="2" t="s">
        <v>11</v>
      </c>
      <c r="B29" s="3">
        <v>0.80901542111506519</v>
      </c>
      <c r="C29" s="3">
        <v>0.19098457888493475</v>
      </c>
      <c r="D29" s="3">
        <v>1</v>
      </c>
    </row>
    <row r="30" spans="1:4" x14ac:dyDescent="0.25">
      <c r="A30" s="2" t="s">
        <v>1332</v>
      </c>
      <c r="B30" s="3">
        <v>0.61802902979373564</v>
      </c>
      <c r="C30" s="3">
        <v>0.3819709702062643</v>
      </c>
      <c r="D30" s="3">
        <v>1</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CF816-B6FB-480C-A65E-71DCEF254C45}">
  <dimension ref="A3:D32"/>
  <sheetViews>
    <sheetView workbookViewId="0">
      <selection activeCell="N23" sqref="N23"/>
    </sheetView>
  </sheetViews>
  <sheetFormatPr defaultRowHeight="15" x14ac:dyDescent="0.25"/>
  <cols>
    <col min="1" max="1" width="14.42578125" bestFit="1" customWidth="1"/>
    <col min="2" max="2" width="16.85546875" bestFit="1" customWidth="1"/>
    <col min="3" max="3" width="8.85546875" bestFit="1" customWidth="1"/>
    <col min="4" max="4" width="11.28515625" bestFit="1" customWidth="1"/>
  </cols>
  <sheetData>
    <row r="3" spans="1:2" x14ac:dyDescent="0.25">
      <c r="A3" s="1" t="s">
        <v>1331</v>
      </c>
      <c r="B3" t="s">
        <v>1330</v>
      </c>
    </row>
    <row r="4" spans="1:2" x14ac:dyDescent="0.25">
      <c r="A4" s="2" t="s">
        <v>12</v>
      </c>
      <c r="B4" s="6">
        <v>82</v>
      </c>
    </row>
    <row r="5" spans="1:2" x14ac:dyDescent="0.25">
      <c r="A5" s="2" t="s">
        <v>29</v>
      </c>
      <c r="B5" s="6">
        <v>143</v>
      </c>
    </row>
    <row r="6" spans="1:2" x14ac:dyDescent="0.25">
      <c r="A6" s="2" t="s">
        <v>9</v>
      </c>
      <c r="B6" s="6">
        <v>607</v>
      </c>
    </row>
    <row r="7" spans="1:2" x14ac:dyDescent="0.25">
      <c r="A7" s="2" t="s">
        <v>16</v>
      </c>
      <c r="B7" s="6">
        <v>232</v>
      </c>
    </row>
    <row r="8" spans="1:2" x14ac:dyDescent="0.25">
      <c r="A8" s="2" t="s">
        <v>19</v>
      </c>
      <c r="B8" s="6">
        <v>135</v>
      </c>
    </row>
    <row r="9" spans="1:2" x14ac:dyDescent="0.25">
      <c r="A9" s="2" t="s">
        <v>24</v>
      </c>
      <c r="B9" s="6">
        <v>70</v>
      </c>
    </row>
    <row r="10" spans="1:2" x14ac:dyDescent="0.25">
      <c r="A10" s="2" t="s">
        <v>21</v>
      </c>
      <c r="B10" s="6">
        <v>32</v>
      </c>
    </row>
    <row r="11" spans="1:2" x14ac:dyDescent="0.25">
      <c r="A11" s="2" t="s">
        <v>26</v>
      </c>
      <c r="B11" s="6">
        <v>7</v>
      </c>
    </row>
    <row r="12" spans="1:2" x14ac:dyDescent="0.25">
      <c r="A12" s="2" t="s">
        <v>33</v>
      </c>
      <c r="B12" s="6">
        <v>1</v>
      </c>
    </row>
    <row r="13" spans="1:2" x14ac:dyDescent="0.25">
      <c r="A13" s="2" t="s">
        <v>1332</v>
      </c>
      <c r="B13" s="6">
        <v>1309</v>
      </c>
    </row>
    <row r="21" spans="1:4" x14ac:dyDescent="0.25">
      <c r="A21" s="1" t="s">
        <v>1330</v>
      </c>
      <c r="B21" s="1" t="s">
        <v>1333</v>
      </c>
    </row>
    <row r="22" spans="1:4" x14ac:dyDescent="0.25">
      <c r="A22" s="1" t="s">
        <v>1331</v>
      </c>
      <c r="B22" t="s">
        <v>14</v>
      </c>
      <c r="C22" t="s">
        <v>7</v>
      </c>
      <c r="D22" t="s">
        <v>1332</v>
      </c>
    </row>
    <row r="23" spans="1:4" x14ac:dyDescent="0.25">
      <c r="A23" s="2" t="s">
        <v>12</v>
      </c>
      <c r="B23" s="6">
        <v>32</v>
      </c>
      <c r="C23" s="6">
        <v>50</v>
      </c>
      <c r="D23" s="6">
        <v>82</v>
      </c>
    </row>
    <row r="24" spans="1:4" x14ac:dyDescent="0.25">
      <c r="A24" s="2" t="s">
        <v>29</v>
      </c>
      <c r="B24" s="6">
        <v>87</v>
      </c>
      <c r="C24" s="6">
        <v>56</v>
      </c>
      <c r="D24" s="6">
        <v>143</v>
      </c>
    </row>
    <row r="25" spans="1:4" x14ac:dyDescent="0.25">
      <c r="A25" s="2" t="s">
        <v>9</v>
      </c>
      <c r="B25" s="6">
        <v>407</v>
      </c>
      <c r="C25" s="6">
        <v>200</v>
      </c>
      <c r="D25" s="6">
        <v>607</v>
      </c>
    </row>
    <row r="26" spans="1:4" x14ac:dyDescent="0.25">
      <c r="A26" s="2" t="s">
        <v>16</v>
      </c>
      <c r="B26" s="6">
        <v>134</v>
      </c>
      <c r="C26" s="6">
        <v>98</v>
      </c>
      <c r="D26" s="6">
        <v>232</v>
      </c>
    </row>
    <row r="27" spans="1:4" x14ac:dyDescent="0.25">
      <c r="A27" s="2" t="s">
        <v>19</v>
      </c>
      <c r="B27" s="6">
        <v>83</v>
      </c>
      <c r="C27" s="6">
        <v>52</v>
      </c>
      <c r="D27" s="6">
        <v>135</v>
      </c>
    </row>
    <row r="28" spans="1:4" x14ac:dyDescent="0.25">
      <c r="A28" s="2" t="s">
        <v>24</v>
      </c>
      <c r="B28" s="6">
        <v>38</v>
      </c>
      <c r="C28" s="6">
        <v>32</v>
      </c>
      <c r="D28" s="6">
        <v>70</v>
      </c>
    </row>
    <row r="29" spans="1:4" x14ac:dyDescent="0.25">
      <c r="A29" s="2" t="s">
        <v>21</v>
      </c>
      <c r="B29" s="6">
        <v>22</v>
      </c>
      <c r="C29" s="6">
        <v>10</v>
      </c>
      <c r="D29" s="6">
        <v>32</v>
      </c>
    </row>
    <row r="30" spans="1:4" x14ac:dyDescent="0.25">
      <c r="A30" s="2" t="s">
        <v>26</v>
      </c>
      <c r="B30" s="6">
        <v>6</v>
      </c>
      <c r="C30" s="6">
        <v>1</v>
      </c>
      <c r="D30" s="6">
        <v>7</v>
      </c>
    </row>
    <row r="31" spans="1:4" x14ac:dyDescent="0.25">
      <c r="A31" s="2" t="s">
        <v>33</v>
      </c>
      <c r="B31" s="6"/>
      <c r="C31" s="6">
        <v>1</v>
      </c>
      <c r="D31" s="6">
        <v>1</v>
      </c>
    </row>
    <row r="32" spans="1:4" x14ac:dyDescent="0.25">
      <c r="A32" s="2" t="s">
        <v>1332</v>
      </c>
      <c r="B32" s="6">
        <v>809</v>
      </c>
      <c r="C32" s="6">
        <v>500</v>
      </c>
      <c r="D32" s="6">
        <v>1309</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20B62-E103-420F-B87E-753E591C5F8A}">
  <dimension ref="A3:B8"/>
  <sheetViews>
    <sheetView workbookViewId="0">
      <selection activeCell="B8" sqref="B8"/>
    </sheetView>
  </sheetViews>
  <sheetFormatPr defaultRowHeight="15" x14ac:dyDescent="0.25"/>
  <cols>
    <col min="1" max="1" width="13.42578125" bestFit="1" customWidth="1"/>
    <col min="2" max="2" width="14.42578125" bestFit="1" customWidth="1"/>
  </cols>
  <sheetData>
    <row r="3" spans="1:2" x14ac:dyDescent="0.25">
      <c r="A3" s="1" t="s">
        <v>1331</v>
      </c>
      <c r="B3" t="s">
        <v>1330</v>
      </c>
    </row>
    <row r="4" spans="1:2" x14ac:dyDescent="0.25">
      <c r="A4" s="2" t="s">
        <v>14</v>
      </c>
      <c r="B4" s="6">
        <v>809</v>
      </c>
    </row>
    <row r="5" spans="1:2" x14ac:dyDescent="0.25">
      <c r="A5" s="2" t="s">
        <v>7</v>
      </c>
      <c r="B5" s="6">
        <v>500</v>
      </c>
    </row>
    <row r="6" spans="1:2" x14ac:dyDescent="0.25">
      <c r="A6" s="2" t="s">
        <v>1332</v>
      </c>
      <c r="B6" s="6">
        <v>1309</v>
      </c>
    </row>
    <row r="8" spans="1:2" x14ac:dyDescent="0.25">
      <c r="B8" s="11">
        <f>GETPIVOTDATA("Index",$A$3)</f>
        <v>1309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9AE44-70EE-40D8-A54E-0FC00DD1C70E}">
  <dimension ref="A1:E1310"/>
  <sheetViews>
    <sheetView topLeftCell="A2" workbookViewId="0">
      <selection activeCell="E18" sqref="A2:E1310"/>
    </sheetView>
  </sheetViews>
  <sheetFormatPr defaultRowHeight="15" x14ac:dyDescent="0.25"/>
  <cols>
    <col min="1" max="1" width="8.28515625" bestFit="1" customWidth="1"/>
    <col min="2" max="2" width="13.140625" bestFit="1" customWidth="1"/>
    <col min="3" max="3" width="15.7109375" bestFit="1" customWidth="1"/>
    <col min="4" max="4" width="7" bestFit="1" customWidth="1"/>
    <col min="5" max="5" width="18.28515625" bestFit="1" customWidth="1"/>
  </cols>
  <sheetData>
    <row r="1" spans="1:5" x14ac:dyDescent="0.25">
      <c r="A1" t="s">
        <v>0</v>
      </c>
      <c r="B1" t="s">
        <v>1</v>
      </c>
      <c r="C1" t="s">
        <v>2</v>
      </c>
      <c r="D1" t="s">
        <v>3</v>
      </c>
      <c r="E1" t="s">
        <v>4</v>
      </c>
    </row>
    <row r="2" spans="1:5" x14ac:dyDescent="0.25">
      <c r="A2" t="s">
        <v>5</v>
      </c>
      <c r="B2" t="s">
        <v>6</v>
      </c>
      <c r="C2" t="s">
        <v>7</v>
      </c>
      <c r="D2" t="s">
        <v>8</v>
      </c>
      <c r="E2" t="s">
        <v>9</v>
      </c>
    </row>
    <row r="3" spans="1:5" x14ac:dyDescent="0.25">
      <c r="A3" t="s">
        <v>10</v>
      </c>
      <c r="B3" t="s">
        <v>6</v>
      </c>
      <c r="C3" t="s">
        <v>7</v>
      </c>
      <c r="D3" t="s">
        <v>11</v>
      </c>
      <c r="E3" t="s">
        <v>12</v>
      </c>
    </row>
    <row r="4" spans="1:5" x14ac:dyDescent="0.25">
      <c r="A4" t="s">
        <v>13</v>
      </c>
      <c r="B4" t="s">
        <v>6</v>
      </c>
      <c r="C4" t="s">
        <v>14</v>
      </c>
      <c r="D4" t="s">
        <v>8</v>
      </c>
      <c r="E4" t="s">
        <v>12</v>
      </c>
    </row>
    <row r="5" spans="1:5" x14ac:dyDescent="0.25">
      <c r="A5" t="s">
        <v>15</v>
      </c>
      <c r="B5" t="s">
        <v>6</v>
      </c>
      <c r="C5" t="s">
        <v>14</v>
      </c>
      <c r="D5" t="s">
        <v>11</v>
      </c>
      <c r="E5" t="s">
        <v>16</v>
      </c>
    </row>
    <row r="6" spans="1:5" x14ac:dyDescent="0.25">
      <c r="A6" t="s">
        <v>17</v>
      </c>
      <c r="B6" t="s">
        <v>6</v>
      </c>
      <c r="C6" t="s">
        <v>14</v>
      </c>
      <c r="D6" t="s">
        <v>8</v>
      </c>
      <c r="E6" t="s">
        <v>9</v>
      </c>
    </row>
    <row r="7" spans="1:5" x14ac:dyDescent="0.25">
      <c r="A7" t="s">
        <v>18</v>
      </c>
      <c r="B7" t="s">
        <v>6</v>
      </c>
      <c r="C7" t="s">
        <v>7</v>
      </c>
      <c r="D7" t="s">
        <v>11</v>
      </c>
      <c r="E7" t="s">
        <v>19</v>
      </c>
    </row>
    <row r="8" spans="1:5" x14ac:dyDescent="0.25">
      <c r="A8" t="s">
        <v>20</v>
      </c>
      <c r="B8" t="s">
        <v>6</v>
      </c>
      <c r="C8" t="s">
        <v>7</v>
      </c>
      <c r="D8" t="s">
        <v>8</v>
      </c>
      <c r="E8" t="s">
        <v>21</v>
      </c>
    </row>
    <row r="9" spans="1:5" x14ac:dyDescent="0.25">
      <c r="A9" t="s">
        <v>22</v>
      </c>
      <c r="B9" t="s">
        <v>6</v>
      </c>
      <c r="C9" t="s">
        <v>14</v>
      </c>
      <c r="D9" t="s">
        <v>11</v>
      </c>
      <c r="E9" t="s">
        <v>16</v>
      </c>
    </row>
    <row r="10" spans="1:5" x14ac:dyDescent="0.25">
      <c r="A10" t="s">
        <v>23</v>
      </c>
      <c r="B10" t="s">
        <v>6</v>
      </c>
      <c r="C10" t="s">
        <v>7</v>
      </c>
      <c r="D10" t="s">
        <v>8</v>
      </c>
      <c r="E10" t="s">
        <v>24</v>
      </c>
    </row>
    <row r="11" spans="1:5" x14ac:dyDescent="0.25">
      <c r="A11" t="s">
        <v>25</v>
      </c>
      <c r="B11" t="s">
        <v>6</v>
      </c>
      <c r="C11" t="s">
        <v>14</v>
      </c>
      <c r="D11" t="s">
        <v>11</v>
      </c>
      <c r="E11" t="s">
        <v>26</v>
      </c>
    </row>
    <row r="12" spans="1:5" x14ac:dyDescent="0.25">
      <c r="A12" t="s">
        <v>27</v>
      </c>
      <c r="B12" t="s">
        <v>6</v>
      </c>
      <c r="C12" t="s">
        <v>14</v>
      </c>
      <c r="D12" t="s">
        <v>11</v>
      </c>
      <c r="E12" t="s">
        <v>19</v>
      </c>
    </row>
    <row r="13" spans="1:5" x14ac:dyDescent="0.25">
      <c r="A13" t="s">
        <v>28</v>
      </c>
      <c r="B13" t="s">
        <v>6</v>
      </c>
      <c r="C13" t="s">
        <v>7</v>
      </c>
      <c r="D13" t="s">
        <v>8</v>
      </c>
      <c r="E13" t="s">
        <v>29</v>
      </c>
    </row>
    <row r="14" spans="1:5" x14ac:dyDescent="0.25">
      <c r="A14" t="s">
        <v>30</v>
      </c>
      <c r="B14" t="s">
        <v>6</v>
      </c>
      <c r="C14" t="s">
        <v>7</v>
      </c>
      <c r="D14" t="s">
        <v>8</v>
      </c>
      <c r="E14" t="s">
        <v>9</v>
      </c>
    </row>
    <row r="15" spans="1:5" x14ac:dyDescent="0.25">
      <c r="A15" t="s">
        <v>31</v>
      </c>
      <c r="B15" t="s">
        <v>6</v>
      </c>
      <c r="C15" t="s">
        <v>7</v>
      </c>
      <c r="D15" t="s">
        <v>8</v>
      </c>
      <c r="E15" t="s">
        <v>9</v>
      </c>
    </row>
    <row r="16" spans="1:5" x14ac:dyDescent="0.25">
      <c r="A16" t="s">
        <v>32</v>
      </c>
      <c r="B16" t="s">
        <v>6</v>
      </c>
      <c r="C16" t="s">
        <v>7</v>
      </c>
      <c r="D16" t="s">
        <v>11</v>
      </c>
      <c r="E16" t="s">
        <v>33</v>
      </c>
    </row>
    <row r="17" spans="1:5" x14ac:dyDescent="0.25">
      <c r="A17" t="s">
        <v>34</v>
      </c>
      <c r="B17" t="s">
        <v>6</v>
      </c>
      <c r="C17" t="s">
        <v>14</v>
      </c>
      <c r="D17" t="s">
        <v>11</v>
      </c>
      <c r="E17" t="s">
        <v>9</v>
      </c>
    </row>
    <row r="18" spans="1:5" x14ac:dyDescent="0.25">
      <c r="A18" t="s">
        <v>35</v>
      </c>
      <c r="B18" t="s">
        <v>6</v>
      </c>
      <c r="C18" t="s">
        <v>14</v>
      </c>
      <c r="D18" t="s">
        <v>11</v>
      </c>
      <c r="E18" t="s">
        <v>9</v>
      </c>
    </row>
    <row r="19" spans="1:5" x14ac:dyDescent="0.25">
      <c r="A19" t="s">
        <v>36</v>
      </c>
      <c r="B19" t="s">
        <v>6</v>
      </c>
      <c r="C19" t="s">
        <v>7</v>
      </c>
      <c r="D19" t="s">
        <v>8</v>
      </c>
      <c r="E19" t="s">
        <v>24</v>
      </c>
    </row>
    <row r="20" spans="1:5" x14ac:dyDescent="0.25">
      <c r="A20" t="s">
        <v>37</v>
      </c>
      <c r="B20" t="s">
        <v>6</v>
      </c>
      <c r="C20" t="s">
        <v>7</v>
      </c>
      <c r="D20" t="s">
        <v>8</v>
      </c>
      <c r="E20" t="s">
        <v>16</v>
      </c>
    </row>
    <row r="21" spans="1:5" x14ac:dyDescent="0.25">
      <c r="A21" t="s">
        <v>38</v>
      </c>
      <c r="B21" t="s">
        <v>6</v>
      </c>
      <c r="C21" t="s">
        <v>14</v>
      </c>
      <c r="D21" t="s">
        <v>11</v>
      </c>
      <c r="E21" t="s">
        <v>16</v>
      </c>
    </row>
    <row r="22" spans="1:5" x14ac:dyDescent="0.25">
      <c r="A22" t="s">
        <v>39</v>
      </c>
      <c r="B22" t="s">
        <v>6</v>
      </c>
      <c r="C22" t="s">
        <v>7</v>
      </c>
      <c r="D22" t="s">
        <v>11</v>
      </c>
      <c r="E22" t="s">
        <v>16</v>
      </c>
    </row>
    <row r="23" spans="1:5" x14ac:dyDescent="0.25">
      <c r="A23" t="s">
        <v>40</v>
      </c>
      <c r="B23" t="s">
        <v>6</v>
      </c>
      <c r="C23" t="s">
        <v>7</v>
      </c>
      <c r="D23" t="s">
        <v>8</v>
      </c>
      <c r="E23" t="s">
        <v>19</v>
      </c>
    </row>
    <row r="24" spans="1:5" x14ac:dyDescent="0.25">
      <c r="A24" t="s">
        <v>41</v>
      </c>
      <c r="B24" t="s">
        <v>6</v>
      </c>
      <c r="C24" t="s">
        <v>7</v>
      </c>
      <c r="D24" t="s">
        <v>11</v>
      </c>
      <c r="E24" t="s">
        <v>9</v>
      </c>
    </row>
    <row r="25" spans="1:5" x14ac:dyDescent="0.25">
      <c r="A25" t="s">
        <v>42</v>
      </c>
      <c r="B25" t="s">
        <v>6</v>
      </c>
      <c r="C25" t="s">
        <v>7</v>
      </c>
      <c r="D25" t="s">
        <v>8</v>
      </c>
      <c r="E25" t="s">
        <v>19</v>
      </c>
    </row>
    <row r="26" spans="1:5" x14ac:dyDescent="0.25">
      <c r="A26" t="s">
        <v>43</v>
      </c>
      <c r="B26" t="s">
        <v>6</v>
      </c>
      <c r="C26" t="s">
        <v>7</v>
      </c>
      <c r="D26" t="s">
        <v>8</v>
      </c>
      <c r="E26" t="s">
        <v>9</v>
      </c>
    </row>
    <row r="27" spans="1:5" x14ac:dyDescent="0.25">
      <c r="A27" t="s">
        <v>44</v>
      </c>
      <c r="B27" t="s">
        <v>6</v>
      </c>
      <c r="C27" t="s">
        <v>14</v>
      </c>
      <c r="D27" t="s">
        <v>11</v>
      </c>
      <c r="E27" t="s">
        <v>9</v>
      </c>
    </row>
    <row r="28" spans="1:5" x14ac:dyDescent="0.25">
      <c r="A28" t="s">
        <v>45</v>
      </c>
      <c r="B28" t="s">
        <v>6</v>
      </c>
      <c r="C28" t="s">
        <v>7</v>
      </c>
      <c r="D28" t="s">
        <v>11</v>
      </c>
      <c r="E28" t="s">
        <v>9</v>
      </c>
    </row>
    <row r="29" spans="1:5" x14ac:dyDescent="0.25">
      <c r="A29" t="s">
        <v>46</v>
      </c>
      <c r="B29" t="s">
        <v>6</v>
      </c>
      <c r="C29" t="s">
        <v>7</v>
      </c>
      <c r="D29" t="s">
        <v>8</v>
      </c>
      <c r="E29" t="s">
        <v>29</v>
      </c>
    </row>
    <row r="30" spans="1:5" x14ac:dyDescent="0.25">
      <c r="A30" t="s">
        <v>47</v>
      </c>
      <c r="B30" t="s">
        <v>6</v>
      </c>
      <c r="C30" t="s">
        <v>7</v>
      </c>
      <c r="D30" t="s">
        <v>8</v>
      </c>
      <c r="E30" t="s">
        <v>16</v>
      </c>
    </row>
    <row r="31" spans="1:5" x14ac:dyDescent="0.25">
      <c r="A31" t="s">
        <v>48</v>
      </c>
      <c r="B31" t="s">
        <v>6</v>
      </c>
      <c r="C31" t="s">
        <v>7</v>
      </c>
      <c r="D31" t="s">
        <v>11</v>
      </c>
      <c r="E31" t="s">
        <v>9</v>
      </c>
    </row>
    <row r="32" spans="1:5" x14ac:dyDescent="0.25">
      <c r="A32" t="s">
        <v>49</v>
      </c>
      <c r="B32" t="s">
        <v>6</v>
      </c>
      <c r="C32" t="s">
        <v>14</v>
      </c>
      <c r="D32" t="s">
        <v>11</v>
      </c>
      <c r="E32" t="s">
        <v>19</v>
      </c>
    </row>
    <row r="33" spans="1:5" x14ac:dyDescent="0.25">
      <c r="A33" t="s">
        <v>50</v>
      </c>
      <c r="B33" t="s">
        <v>6</v>
      </c>
      <c r="C33" t="s">
        <v>7</v>
      </c>
      <c r="D33" t="s">
        <v>11</v>
      </c>
      <c r="E33" t="s">
        <v>19</v>
      </c>
    </row>
    <row r="34" spans="1:5" x14ac:dyDescent="0.25">
      <c r="A34" t="s">
        <v>51</v>
      </c>
      <c r="B34" t="s">
        <v>6</v>
      </c>
      <c r="C34" t="s">
        <v>7</v>
      </c>
      <c r="D34" t="s">
        <v>8</v>
      </c>
      <c r="E34" t="s">
        <v>16</v>
      </c>
    </row>
    <row r="35" spans="1:5" x14ac:dyDescent="0.25">
      <c r="A35" t="s">
        <v>52</v>
      </c>
      <c r="B35" t="s">
        <v>6</v>
      </c>
      <c r="C35" t="s">
        <v>7</v>
      </c>
      <c r="D35" t="s">
        <v>8</v>
      </c>
      <c r="E35" t="s">
        <v>24</v>
      </c>
    </row>
    <row r="36" spans="1:5" x14ac:dyDescent="0.25">
      <c r="A36" t="s">
        <v>53</v>
      </c>
      <c r="B36" t="s">
        <v>6</v>
      </c>
      <c r="C36" t="s">
        <v>14</v>
      </c>
      <c r="D36" t="s">
        <v>11</v>
      </c>
      <c r="E36" t="s">
        <v>19</v>
      </c>
    </row>
    <row r="37" spans="1:5" x14ac:dyDescent="0.25">
      <c r="A37" t="s">
        <v>54</v>
      </c>
      <c r="B37" t="s">
        <v>6</v>
      </c>
      <c r="C37" t="s">
        <v>7</v>
      </c>
      <c r="D37" t="s">
        <v>8</v>
      </c>
      <c r="E37" t="s">
        <v>19</v>
      </c>
    </row>
    <row r="38" spans="1:5" x14ac:dyDescent="0.25">
      <c r="A38" t="s">
        <v>55</v>
      </c>
      <c r="B38" t="s">
        <v>6</v>
      </c>
      <c r="C38" t="s">
        <v>7</v>
      </c>
      <c r="D38" t="s">
        <v>8</v>
      </c>
      <c r="E38" t="s">
        <v>9</v>
      </c>
    </row>
    <row r="39" spans="1:5" x14ac:dyDescent="0.25">
      <c r="A39" t="s">
        <v>56</v>
      </c>
      <c r="B39" t="s">
        <v>6</v>
      </c>
      <c r="C39" t="s">
        <v>7</v>
      </c>
      <c r="D39" t="s">
        <v>11</v>
      </c>
      <c r="E39" t="s">
        <v>9</v>
      </c>
    </row>
    <row r="40" spans="1:5" x14ac:dyDescent="0.25">
      <c r="A40" t="s">
        <v>57</v>
      </c>
      <c r="B40" t="s">
        <v>6</v>
      </c>
      <c r="C40" t="s">
        <v>14</v>
      </c>
      <c r="D40" t="s">
        <v>11</v>
      </c>
      <c r="E40" t="s">
        <v>19</v>
      </c>
    </row>
    <row r="41" spans="1:5" x14ac:dyDescent="0.25">
      <c r="A41" t="s">
        <v>58</v>
      </c>
      <c r="B41" t="s">
        <v>6</v>
      </c>
      <c r="C41" t="s">
        <v>14</v>
      </c>
      <c r="D41" t="s">
        <v>11</v>
      </c>
      <c r="E41" t="s">
        <v>19</v>
      </c>
    </row>
    <row r="42" spans="1:5" x14ac:dyDescent="0.25">
      <c r="A42" t="s">
        <v>59</v>
      </c>
      <c r="B42" t="s">
        <v>6</v>
      </c>
      <c r="C42" t="s">
        <v>14</v>
      </c>
      <c r="D42" t="s">
        <v>11</v>
      </c>
      <c r="E42" t="s">
        <v>9</v>
      </c>
    </row>
    <row r="43" spans="1:5" x14ac:dyDescent="0.25">
      <c r="A43" t="s">
        <v>60</v>
      </c>
      <c r="B43" t="s">
        <v>6</v>
      </c>
      <c r="C43" t="s">
        <v>7</v>
      </c>
      <c r="D43" t="s">
        <v>8</v>
      </c>
      <c r="E43" t="s">
        <v>19</v>
      </c>
    </row>
    <row r="44" spans="1:5" x14ac:dyDescent="0.25">
      <c r="A44" t="s">
        <v>61</v>
      </c>
      <c r="B44" t="s">
        <v>6</v>
      </c>
      <c r="C44" t="s">
        <v>7</v>
      </c>
      <c r="D44" t="s">
        <v>8</v>
      </c>
      <c r="E44" t="s">
        <v>24</v>
      </c>
    </row>
    <row r="45" spans="1:5" x14ac:dyDescent="0.25">
      <c r="A45" t="s">
        <v>62</v>
      </c>
      <c r="B45" t="s">
        <v>6</v>
      </c>
      <c r="C45" t="s">
        <v>7</v>
      </c>
      <c r="D45" t="s">
        <v>8</v>
      </c>
      <c r="E45" t="s">
        <v>21</v>
      </c>
    </row>
    <row r="46" spans="1:5" x14ac:dyDescent="0.25">
      <c r="A46" t="s">
        <v>63</v>
      </c>
      <c r="B46" t="s">
        <v>6</v>
      </c>
      <c r="C46" t="s">
        <v>7</v>
      </c>
      <c r="D46" t="s">
        <v>8</v>
      </c>
      <c r="E46" t="s">
        <v>19</v>
      </c>
    </row>
    <row r="47" spans="1:5" x14ac:dyDescent="0.25">
      <c r="A47" t="s">
        <v>64</v>
      </c>
      <c r="B47" t="s">
        <v>6</v>
      </c>
      <c r="C47" t="s">
        <v>14</v>
      </c>
      <c r="D47" t="s">
        <v>11</v>
      </c>
      <c r="E47" t="s">
        <v>19</v>
      </c>
    </row>
    <row r="48" spans="1:5" x14ac:dyDescent="0.25">
      <c r="A48" t="s">
        <v>65</v>
      </c>
      <c r="B48" t="s">
        <v>6</v>
      </c>
      <c r="C48" t="s">
        <v>14</v>
      </c>
      <c r="D48" t="s">
        <v>11</v>
      </c>
      <c r="E48" t="s">
        <v>9</v>
      </c>
    </row>
    <row r="49" spans="1:5" x14ac:dyDescent="0.25">
      <c r="A49" t="s">
        <v>66</v>
      </c>
      <c r="B49" t="s">
        <v>6</v>
      </c>
      <c r="C49" t="s">
        <v>7</v>
      </c>
      <c r="D49" t="s">
        <v>11</v>
      </c>
      <c r="E49" t="s">
        <v>19</v>
      </c>
    </row>
    <row r="50" spans="1:5" x14ac:dyDescent="0.25">
      <c r="A50" t="s">
        <v>67</v>
      </c>
      <c r="B50" t="s">
        <v>6</v>
      </c>
      <c r="C50" t="s">
        <v>7</v>
      </c>
      <c r="D50" t="s">
        <v>8</v>
      </c>
      <c r="E50" t="s">
        <v>24</v>
      </c>
    </row>
    <row r="51" spans="1:5" x14ac:dyDescent="0.25">
      <c r="A51" t="s">
        <v>68</v>
      </c>
      <c r="B51" t="s">
        <v>6</v>
      </c>
      <c r="C51" t="s">
        <v>7</v>
      </c>
      <c r="D51" t="s">
        <v>11</v>
      </c>
      <c r="E51" t="s">
        <v>16</v>
      </c>
    </row>
    <row r="52" spans="1:5" x14ac:dyDescent="0.25">
      <c r="A52" t="s">
        <v>69</v>
      </c>
      <c r="B52" t="s">
        <v>6</v>
      </c>
      <c r="C52" t="s">
        <v>7</v>
      </c>
      <c r="D52" t="s">
        <v>8</v>
      </c>
      <c r="E52" t="s">
        <v>24</v>
      </c>
    </row>
    <row r="53" spans="1:5" x14ac:dyDescent="0.25">
      <c r="A53" t="s">
        <v>70</v>
      </c>
      <c r="B53" t="s">
        <v>6</v>
      </c>
      <c r="C53" t="s">
        <v>14</v>
      </c>
      <c r="D53" t="s">
        <v>11</v>
      </c>
      <c r="E53" t="s">
        <v>16</v>
      </c>
    </row>
    <row r="54" spans="1:5" x14ac:dyDescent="0.25">
      <c r="A54" t="s">
        <v>71</v>
      </c>
      <c r="B54" t="s">
        <v>6</v>
      </c>
      <c r="C54" t="s">
        <v>14</v>
      </c>
      <c r="D54" t="s">
        <v>11</v>
      </c>
      <c r="E54" t="s">
        <v>9</v>
      </c>
    </row>
    <row r="55" spans="1:5" x14ac:dyDescent="0.25">
      <c r="A55" t="s">
        <v>72</v>
      </c>
      <c r="B55" t="s">
        <v>6</v>
      </c>
      <c r="C55" t="s">
        <v>14</v>
      </c>
      <c r="D55" t="s">
        <v>11</v>
      </c>
      <c r="E55" t="s">
        <v>29</v>
      </c>
    </row>
    <row r="56" spans="1:5" x14ac:dyDescent="0.25">
      <c r="A56" t="s">
        <v>73</v>
      </c>
      <c r="B56" t="s">
        <v>6</v>
      </c>
      <c r="C56" t="s">
        <v>7</v>
      </c>
      <c r="D56" t="s">
        <v>11</v>
      </c>
      <c r="E56" t="s">
        <v>29</v>
      </c>
    </row>
    <row r="57" spans="1:5" x14ac:dyDescent="0.25">
      <c r="A57" t="s">
        <v>74</v>
      </c>
      <c r="B57" t="s">
        <v>6</v>
      </c>
      <c r="C57" t="s">
        <v>7</v>
      </c>
      <c r="D57" t="s">
        <v>8</v>
      </c>
      <c r="E57" t="s">
        <v>29</v>
      </c>
    </row>
    <row r="58" spans="1:5" x14ac:dyDescent="0.25">
      <c r="A58" t="s">
        <v>75</v>
      </c>
      <c r="B58" t="s">
        <v>6</v>
      </c>
      <c r="C58" t="s">
        <v>7</v>
      </c>
      <c r="D58" t="s">
        <v>11</v>
      </c>
      <c r="E58" t="s">
        <v>16</v>
      </c>
    </row>
    <row r="59" spans="1:5" x14ac:dyDescent="0.25">
      <c r="A59" t="s">
        <v>76</v>
      </c>
      <c r="B59" t="s">
        <v>6</v>
      </c>
      <c r="C59" t="s">
        <v>7</v>
      </c>
      <c r="D59" t="s">
        <v>8</v>
      </c>
      <c r="E59" t="s">
        <v>16</v>
      </c>
    </row>
    <row r="60" spans="1:5" x14ac:dyDescent="0.25">
      <c r="A60" t="s">
        <v>77</v>
      </c>
      <c r="B60" t="s">
        <v>6</v>
      </c>
      <c r="C60" t="s">
        <v>14</v>
      </c>
      <c r="D60" t="s">
        <v>11</v>
      </c>
      <c r="E60" t="s">
        <v>19</v>
      </c>
    </row>
    <row r="61" spans="1:5" x14ac:dyDescent="0.25">
      <c r="A61" t="s">
        <v>78</v>
      </c>
      <c r="B61" t="s">
        <v>6</v>
      </c>
      <c r="C61" t="s">
        <v>7</v>
      </c>
      <c r="D61" t="s">
        <v>8</v>
      </c>
      <c r="E61" t="s">
        <v>9</v>
      </c>
    </row>
    <row r="62" spans="1:5" x14ac:dyDescent="0.25">
      <c r="A62" t="s">
        <v>79</v>
      </c>
      <c r="B62" t="s">
        <v>6</v>
      </c>
      <c r="C62" t="s">
        <v>14</v>
      </c>
      <c r="D62" t="s">
        <v>11</v>
      </c>
      <c r="E62" t="s">
        <v>16</v>
      </c>
    </row>
    <row r="63" spans="1:5" x14ac:dyDescent="0.25">
      <c r="A63" t="s">
        <v>80</v>
      </c>
      <c r="B63" t="s">
        <v>6</v>
      </c>
      <c r="C63" t="s">
        <v>7</v>
      </c>
      <c r="D63" t="s">
        <v>8</v>
      </c>
      <c r="E63" t="s">
        <v>26</v>
      </c>
    </row>
    <row r="64" spans="1:5" x14ac:dyDescent="0.25">
      <c r="A64" t="s">
        <v>81</v>
      </c>
      <c r="B64" t="s">
        <v>6</v>
      </c>
      <c r="C64" t="s">
        <v>14</v>
      </c>
      <c r="D64" t="s">
        <v>11</v>
      </c>
      <c r="E64" t="s">
        <v>19</v>
      </c>
    </row>
    <row r="65" spans="1:5" x14ac:dyDescent="0.25">
      <c r="A65" t="s">
        <v>82</v>
      </c>
      <c r="B65" t="s">
        <v>6</v>
      </c>
      <c r="C65" t="s">
        <v>7</v>
      </c>
      <c r="D65" t="s">
        <v>8</v>
      </c>
      <c r="E65" t="s">
        <v>19</v>
      </c>
    </row>
    <row r="66" spans="1:5" x14ac:dyDescent="0.25">
      <c r="A66" t="s">
        <v>83</v>
      </c>
      <c r="B66" t="s">
        <v>6</v>
      </c>
      <c r="C66" t="s">
        <v>7</v>
      </c>
      <c r="D66" t="s">
        <v>11</v>
      </c>
      <c r="E66" t="s">
        <v>9</v>
      </c>
    </row>
    <row r="67" spans="1:5" x14ac:dyDescent="0.25">
      <c r="A67" t="s">
        <v>84</v>
      </c>
      <c r="B67" t="s">
        <v>6</v>
      </c>
      <c r="C67" t="s">
        <v>7</v>
      </c>
      <c r="D67" t="s">
        <v>8</v>
      </c>
      <c r="E67" t="s">
        <v>16</v>
      </c>
    </row>
    <row r="68" spans="1:5" x14ac:dyDescent="0.25">
      <c r="A68" t="s">
        <v>85</v>
      </c>
      <c r="B68" t="s">
        <v>6</v>
      </c>
      <c r="C68" t="s">
        <v>7</v>
      </c>
      <c r="D68" t="s">
        <v>8</v>
      </c>
      <c r="E68" t="s">
        <v>16</v>
      </c>
    </row>
    <row r="69" spans="1:5" x14ac:dyDescent="0.25">
      <c r="A69" t="s">
        <v>86</v>
      </c>
      <c r="B69" t="s">
        <v>6</v>
      </c>
      <c r="C69" t="s">
        <v>7</v>
      </c>
      <c r="D69" t="s">
        <v>8</v>
      </c>
      <c r="E69" t="s">
        <v>16</v>
      </c>
    </row>
    <row r="70" spans="1:5" x14ac:dyDescent="0.25">
      <c r="A70" t="s">
        <v>87</v>
      </c>
      <c r="B70" t="s">
        <v>6</v>
      </c>
      <c r="C70" t="s">
        <v>7</v>
      </c>
      <c r="D70" t="s">
        <v>11</v>
      </c>
      <c r="E70" t="s">
        <v>19</v>
      </c>
    </row>
    <row r="71" spans="1:5" x14ac:dyDescent="0.25">
      <c r="A71" t="s">
        <v>88</v>
      </c>
      <c r="B71" t="s">
        <v>6</v>
      </c>
      <c r="C71" t="s">
        <v>7</v>
      </c>
      <c r="D71" t="s">
        <v>8</v>
      </c>
      <c r="E71" t="s">
        <v>9</v>
      </c>
    </row>
    <row r="72" spans="1:5" x14ac:dyDescent="0.25">
      <c r="A72" t="s">
        <v>89</v>
      </c>
      <c r="B72" t="s">
        <v>6</v>
      </c>
      <c r="C72" t="s">
        <v>14</v>
      </c>
      <c r="D72" t="s">
        <v>11</v>
      </c>
      <c r="E72" t="s">
        <v>9</v>
      </c>
    </row>
    <row r="73" spans="1:5" x14ac:dyDescent="0.25">
      <c r="A73" t="s">
        <v>90</v>
      </c>
      <c r="B73" t="s">
        <v>6</v>
      </c>
      <c r="C73" t="s">
        <v>14</v>
      </c>
      <c r="D73" t="s">
        <v>11</v>
      </c>
      <c r="E73" t="s">
        <v>9</v>
      </c>
    </row>
    <row r="74" spans="1:5" x14ac:dyDescent="0.25">
      <c r="A74" t="s">
        <v>91</v>
      </c>
      <c r="B74" t="s">
        <v>6</v>
      </c>
      <c r="C74" t="s">
        <v>7</v>
      </c>
      <c r="D74" t="s">
        <v>8</v>
      </c>
      <c r="E74" t="s">
        <v>9</v>
      </c>
    </row>
    <row r="75" spans="1:5" x14ac:dyDescent="0.25">
      <c r="A75" t="s">
        <v>92</v>
      </c>
      <c r="B75" t="s">
        <v>6</v>
      </c>
      <c r="C75" t="s">
        <v>7</v>
      </c>
      <c r="D75" t="s">
        <v>8</v>
      </c>
      <c r="E75" t="s">
        <v>9</v>
      </c>
    </row>
    <row r="76" spans="1:5" x14ac:dyDescent="0.25">
      <c r="A76" t="s">
        <v>93</v>
      </c>
      <c r="B76" t="s">
        <v>6</v>
      </c>
      <c r="C76" t="s">
        <v>14</v>
      </c>
      <c r="D76" t="s">
        <v>11</v>
      </c>
      <c r="E76" t="s">
        <v>9</v>
      </c>
    </row>
    <row r="77" spans="1:5" x14ac:dyDescent="0.25">
      <c r="A77" t="s">
        <v>94</v>
      </c>
      <c r="B77" t="s">
        <v>6</v>
      </c>
      <c r="C77" t="s">
        <v>14</v>
      </c>
      <c r="D77" t="s">
        <v>11</v>
      </c>
      <c r="E77" t="s">
        <v>19</v>
      </c>
    </row>
    <row r="78" spans="1:5" x14ac:dyDescent="0.25">
      <c r="A78" t="s">
        <v>95</v>
      </c>
      <c r="B78" t="s">
        <v>6</v>
      </c>
      <c r="C78" t="s">
        <v>7</v>
      </c>
      <c r="D78" t="s">
        <v>8</v>
      </c>
      <c r="E78" t="s">
        <v>16</v>
      </c>
    </row>
    <row r="79" spans="1:5" x14ac:dyDescent="0.25">
      <c r="A79" t="s">
        <v>96</v>
      </c>
      <c r="B79" t="s">
        <v>6</v>
      </c>
      <c r="C79" t="s">
        <v>14</v>
      </c>
      <c r="D79" t="s">
        <v>11</v>
      </c>
      <c r="E79" t="s">
        <v>16</v>
      </c>
    </row>
    <row r="80" spans="1:5" x14ac:dyDescent="0.25">
      <c r="A80" t="s">
        <v>97</v>
      </c>
      <c r="B80" t="s">
        <v>6</v>
      </c>
      <c r="C80" t="s">
        <v>7</v>
      </c>
      <c r="D80" t="s">
        <v>8</v>
      </c>
      <c r="E80" t="s">
        <v>21</v>
      </c>
    </row>
    <row r="81" spans="1:5" x14ac:dyDescent="0.25">
      <c r="A81" t="s">
        <v>98</v>
      </c>
      <c r="B81" t="s">
        <v>6</v>
      </c>
      <c r="C81" t="s">
        <v>7</v>
      </c>
      <c r="D81" t="s">
        <v>8</v>
      </c>
      <c r="E81" t="s">
        <v>24</v>
      </c>
    </row>
    <row r="82" spans="1:5" x14ac:dyDescent="0.25">
      <c r="A82" t="s">
        <v>99</v>
      </c>
      <c r="B82" t="s">
        <v>6</v>
      </c>
      <c r="C82" t="s">
        <v>14</v>
      </c>
      <c r="D82" t="s">
        <v>11</v>
      </c>
      <c r="E82" t="s">
        <v>9</v>
      </c>
    </row>
    <row r="83" spans="1:5" x14ac:dyDescent="0.25">
      <c r="A83" t="s">
        <v>100</v>
      </c>
      <c r="B83" t="s">
        <v>6</v>
      </c>
      <c r="C83" t="s">
        <v>14</v>
      </c>
      <c r="D83" t="s">
        <v>11</v>
      </c>
      <c r="E83" t="s">
        <v>26</v>
      </c>
    </row>
    <row r="84" spans="1:5" x14ac:dyDescent="0.25">
      <c r="A84" t="s">
        <v>101</v>
      </c>
      <c r="B84" t="s">
        <v>6</v>
      </c>
      <c r="C84" t="s">
        <v>7</v>
      </c>
      <c r="D84" t="s">
        <v>8</v>
      </c>
      <c r="E84" t="s">
        <v>16</v>
      </c>
    </row>
    <row r="85" spans="1:5" x14ac:dyDescent="0.25">
      <c r="A85" t="s">
        <v>102</v>
      </c>
      <c r="B85" t="s">
        <v>6</v>
      </c>
      <c r="C85" t="s">
        <v>7</v>
      </c>
      <c r="D85" t="s">
        <v>8</v>
      </c>
      <c r="E85" t="s">
        <v>21</v>
      </c>
    </row>
    <row r="86" spans="1:5" x14ac:dyDescent="0.25">
      <c r="A86" t="s">
        <v>103</v>
      </c>
      <c r="B86" t="s">
        <v>6</v>
      </c>
      <c r="C86" t="s">
        <v>14</v>
      </c>
      <c r="D86" t="s">
        <v>11</v>
      </c>
      <c r="E86" t="s">
        <v>16</v>
      </c>
    </row>
    <row r="87" spans="1:5" x14ac:dyDescent="0.25">
      <c r="A87" t="s">
        <v>104</v>
      </c>
      <c r="B87" t="s">
        <v>6</v>
      </c>
      <c r="C87" t="s">
        <v>7</v>
      </c>
      <c r="D87" t="s">
        <v>8</v>
      </c>
      <c r="E87" t="s">
        <v>16</v>
      </c>
    </row>
    <row r="88" spans="1:5" x14ac:dyDescent="0.25">
      <c r="A88" t="s">
        <v>105</v>
      </c>
      <c r="B88" t="s">
        <v>6</v>
      </c>
      <c r="C88" t="s">
        <v>7</v>
      </c>
      <c r="D88" t="s">
        <v>11</v>
      </c>
      <c r="E88" t="s">
        <v>24</v>
      </c>
    </row>
    <row r="89" spans="1:5" x14ac:dyDescent="0.25">
      <c r="A89" t="s">
        <v>106</v>
      </c>
      <c r="B89" t="s">
        <v>6</v>
      </c>
      <c r="C89" t="s">
        <v>7</v>
      </c>
      <c r="D89" t="s">
        <v>11</v>
      </c>
      <c r="E89" t="s">
        <v>9</v>
      </c>
    </row>
    <row r="90" spans="1:5" x14ac:dyDescent="0.25">
      <c r="A90" t="s">
        <v>107</v>
      </c>
      <c r="B90" t="s">
        <v>6</v>
      </c>
      <c r="C90" t="s">
        <v>7</v>
      </c>
      <c r="D90" t="s">
        <v>8</v>
      </c>
      <c r="E90" t="s">
        <v>16</v>
      </c>
    </row>
    <row r="91" spans="1:5" x14ac:dyDescent="0.25">
      <c r="A91" t="s">
        <v>108</v>
      </c>
      <c r="B91" t="s">
        <v>6</v>
      </c>
      <c r="C91" t="s">
        <v>14</v>
      </c>
      <c r="D91" t="s">
        <v>11</v>
      </c>
      <c r="E91" t="s">
        <v>16</v>
      </c>
    </row>
    <row r="92" spans="1:5" x14ac:dyDescent="0.25">
      <c r="A92" t="s">
        <v>109</v>
      </c>
      <c r="B92" t="s">
        <v>6</v>
      </c>
      <c r="C92" t="s">
        <v>7</v>
      </c>
      <c r="D92" t="s">
        <v>8</v>
      </c>
      <c r="E92" t="s">
        <v>9</v>
      </c>
    </row>
    <row r="93" spans="1:5" x14ac:dyDescent="0.25">
      <c r="A93" t="s">
        <v>110</v>
      </c>
      <c r="B93" t="s">
        <v>6</v>
      </c>
      <c r="C93" t="s">
        <v>7</v>
      </c>
      <c r="D93" t="s">
        <v>11</v>
      </c>
      <c r="E93" t="s">
        <v>16</v>
      </c>
    </row>
    <row r="94" spans="1:5" x14ac:dyDescent="0.25">
      <c r="A94" t="s">
        <v>111</v>
      </c>
      <c r="B94" t="s">
        <v>6</v>
      </c>
      <c r="C94" t="s">
        <v>7</v>
      </c>
      <c r="D94" t="s">
        <v>8</v>
      </c>
      <c r="E94" t="s">
        <v>29</v>
      </c>
    </row>
    <row r="95" spans="1:5" x14ac:dyDescent="0.25">
      <c r="A95" t="s">
        <v>112</v>
      </c>
      <c r="B95" t="s">
        <v>6</v>
      </c>
      <c r="C95" t="s">
        <v>7</v>
      </c>
      <c r="D95" t="s">
        <v>11</v>
      </c>
      <c r="E95" t="s">
        <v>24</v>
      </c>
    </row>
    <row r="96" spans="1:5" x14ac:dyDescent="0.25">
      <c r="A96" t="s">
        <v>113</v>
      </c>
      <c r="B96" t="s">
        <v>6</v>
      </c>
      <c r="C96" t="s">
        <v>7</v>
      </c>
      <c r="D96" t="s">
        <v>11</v>
      </c>
      <c r="E96" t="s">
        <v>12</v>
      </c>
    </row>
    <row r="97" spans="1:5" x14ac:dyDescent="0.25">
      <c r="A97" t="s">
        <v>114</v>
      </c>
      <c r="B97" t="s">
        <v>6</v>
      </c>
      <c r="C97" t="s">
        <v>7</v>
      </c>
      <c r="D97" t="s">
        <v>8</v>
      </c>
      <c r="E97" t="s">
        <v>24</v>
      </c>
    </row>
    <row r="98" spans="1:5" x14ac:dyDescent="0.25">
      <c r="A98" t="s">
        <v>115</v>
      </c>
      <c r="B98" t="s">
        <v>6</v>
      </c>
      <c r="C98" t="s">
        <v>14</v>
      </c>
      <c r="D98" t="s">
        <v>11</v>
      </c>
      <c r="E98" t="s">
        <v>24</v>
      </c>
    </row>
    <row r="99" spans="1:5" x14ac:dyDescent="0.25">
      <c r="A99" t="s">
        <v>116</v>
      </c>
      <c r="B99" t="s">
        <v>6</v>
      </c>
      <c r="C99" t="s">
        <v>7</v>
      </c>
      <c r="D99" t="s">
        <v>8</v>
      </c>
      <c r="E99" t="s">
        <v>9</v>
      </c>
    </row>
    <row r="100" spans="1:5" x14ac:dyDescent="0.25">
      <c r="A100" t="s">
        <v>117</v>
      </c>
      <c r="B100" t="s">
        <v>6</v>
      </c>
      <c r="C100" t="s">
        <v>7</v>
      </c>
      <c r="D100" t="s">
        <v>8</v>
      </c>
      <c r="E100" t="s">
        <v>19</v>
      </c>
    </row>
    <row r="101" spans="1:5" x14ac:dyDescent="0.25">
      <c r="A101" t="s">
        <v>118</v>
      </c>
      <c r="B101" t="s">
        <v>6</v>
      </c>
      <c r="C101" t="s">
        <v>7</v>
      </c>
      <c r="D101" t="s">
        <v>8</v>
      </c>
      <c r="E101" t="s">
        <v>19</v>
      </c>
    </row>
    <row r="102" spans="1:5" x14ac:dyDescent="0.25">
      <c r="A102" t="s">
        <v>119</v>
      </c>
      <c r="B102" t="s">
        <v>6</v>
      </c>
      <c r="C102" t="s">
        <v>7</v>
      </c>
      <c r="D102" t="s">
        <v>11</v>
      </c>
      <c r="E102" t="s">
        <v>19</v>
      </c>
    </row>
    <row r="103" spans="1:5" x14ac:dyDescent="0.25">
      <c r="A103" t="s">
        <v>120</v>
      </c>
      <c r="B103" t="s">
        <v>6</v>
      </c>
      <c r="C103" t="s">
        <v>14</v>
      </c>
      <c r="D103" t="s">
        <v>11</v>
      </c>
      <c r="E103" t="s">
        <v>16</v>
      </c>
    </row>
    <row r="104" spans="1:5" x14ac:dyDescent="0.25">
      <c r="A104" t="s">
        <v>121</v>
      </c>
      <c r="B104" t="s">
        <v>6</v>
      </c>
      <c r="C104" t="s">
        <v>7</v>
      </c>
      <c r="D104" t="s">
        <v>8</v>
      </c>
      <c r="E104" t="s">
        <v>9</v>
      </c>
    </row>
    <row r="105" spans="1:5" x14ac:dyDescent="0.25">
      <c r="A105" t="s">
        <v>122</v>
      </c>
      <c r="B105" t="s">
        <v>6</v>
      </c>
      <c r="C105" t="s">
        <v>7</v>
      </c>
      <c r="D105" t="s">
        <v>8</v>
      </c>
      <c r="E105" t="s">
        <v>16</v>
      </c>
    </row>
    <row r="106" spans="1:5" x14ac:dyDescent="0.25">
      <c r="A106" t="s">
        <v>123</v>
      </c>
      <c r="B106" t="s">
        <v>6</v>
      </c>
      <c r="C106" t="s">
        <v>7</v>
      </c>
      <c r="D106" t="s">
        <v>8</v>
      </c>
      <c r="E106" t="s">
        <v>24</v>
      </c>
    </row>
    <row r="107" spans="1:5" x14ac:dyDescent="0.25">
      <c r="A107" t="s">
        <v>124</v>
      </c>
      <c r="B107" t="s">
        <v>6</v>
      </c>
      <c r="C107" t="s">
        <v>14</v>
      </c>
      <c r="D107" t="s">
        <v>8</v>
      </c>
      <c r="E107" t="s">
        <v>16</v>
      </c>
    </row>
    <row r="108" spans="1:5" x14ac:dyDescent="0.25">
      <c r="A108" t="s">
        <v>125</v>
      </c>
      <c r="B108" t="s">
        <v>6</v>
      </c>
      <c r="C108" t="s">
        <v>14</v>
      </c>
      <c r="D108" t="s">
        <v>11</v>
      </c>
      <c r="E108" t="s">
        <v>9</v>
      </c>
    </row>
    <row r="109" spans="1:5" x14ac:dyDescent="0.25">
      <c r="A109" t="s">
        <v>126</v>
      </c>
      <c r="B109" t="s">
        <v>6</v>
      </c>
      <c r="C109" t="s">
        <v>7</v>
      </c>
      <c r="D109" t="s">
        <v>8</v>
      </c>
      <c r="E109" t="s">
        <v>9</v>
      </c>
    </row>
    <row r="110" spans="1:5" x14ac:dyDescent="0.25">
      <c r="A110" t="s">
        <v>127</v>
      </c>
      <c r="B110" t="s">
        <v>6</v>
      </c>
      <c r="C110" t="s">
        <v>7</v>
      </c>
      <c r="D110" t="s">
        <v>8</v>
      </c>
      <c r="E110" t="s">
        <v>9</v>
      </c>
    </row>
    <row r="111" spans="1:5" x14ac:dyDescent="0.25">
      <c r="A111" t="s">
        <v>128</v>
      </c>
      <c r="B111" t="s">
        <v>6</v>
      </c>
      <c r="C111" t="s">
        <v>7</v>
      </c>
      <c r="D111" t="s">
        <v>11</v>
      </c>
      <c r="E111" t="s">
        <v>16</v>
      </c>
    </row>
    <row r="112" spans="1:5" x14ac:dyDescent="0.25">
      <c r="A112" t="s">
        <v>129</v>
      </c>
      <c r="B112" t="s">
        <v>6</v>
      </c>
      <c r="C112" t="s">
        <v>14</v>
      </c>
      <c r="D112" t="s">
        <v>11</v>
      </c>
      <c r="E112" t="s">
        <v>16</v>
      </c>
    </row>
    <row r="113" spans="1:5" x14ac:dyDescent="0.25">
      <c r="A113" t="s">
        <v>130</v>
      </c>
      <c r="B113" t="s">
        <v>6</v>
      </c>
      <c r="C113" t="s">
        <v>7</v>
      </c>
      <c r="D113" t="s">
        <v>8</v>
      </c>
      <c r="E113" t="s">
        <v>9</v>
      </c>
    </row>
    <row r="114" spans="1:5" x14ac:dyDescent="0.25">
      <c r="A114" t="s">
        <v>131</v>
      </c>
      <c r="B114" t="s">
        <v>6</v>
      </c>
      <c r="C114" t="s">
        <v>7</v>
      </c>
      <c r="D114" t="s">
        <v>8</v>
      </c>
      <c r="E114" t="s">
        <v>9</v>
      </c>
    </row>
    <row r="115" spans="1:5" x14ac:dyDescent="0.25">
      <c r="A115" t="s">
        <v>132</v>
      </c>
      <c r="B115" t="s">
        <v>6</v>
      </c>
      <c r="C115" t="s">
        <v>7</v>
      </c>
      <c r="D115" t="s">
        <v>8</v>
      </c>
      <c r="E115" t="s">
        <v>9</v>
      </c>
    </row>
    <row r="116" spans="1:5" x14ac:dyDescent="0.25">
      <c r="A116" t="s">
        <v>133</v>
      </c>
      <c r="B116" t="s">
        <v>6</v>
      </c>
      <c r="C116" t="s">
        <v>14</v>
      </c>
      <c r="D116" t="s">
        <v>11</v>
      </c>
      <c r="E116" t="s">
        <v>29</v>
      </c>
    </row>
    <row r="117" spans="1:5" x14ac:dyDescent="0.25">
      <c r="A117" t="s">
        <v>134</v>
      </c>
      <c r="B117" t="s">
        <v>6</v>
      </c>
      <c r="C117" t="s">
        <v>14</v>
      </c>
      <c r="D117" t="s">
        <v>11</v>
      </c>
      <c r="E117" t="s">
        <v>21</v>
      </c>
    </row>
    <row r="118" spans="1:5" x14ac:dyDescent="0.25">
      <c r="A118" t="s">
        <v>135</v>
      </c>
      <c r="B118" t="s">
        <v>6</v>
      </c>
      <c r="C118" t="s">
        <v>7</v>
      </c>
      <c r="D118" t="s">
        <v>8</v>
      </c>
      <c r="E118" t="s">
        <v>21</v>
      </c>
    </row>
    <row r="119" spans="1:5" x14ac:dyDescent="0.25">
      <c r="A119" t="s">
        <v>136</v>
      </c>
      <c r="B119" t="s">
        <v>6</v>
      </c>
      <c r="C119" t="s">
        <v>7</v>
      </c>
      <c r="D119" t="s">
        <v>8</v>
      </c>
      <c r="E119" t="s">
        <v>16</v>
      </c>
    </row>
    <row r="120" spans="1:5" x14ac:dyDescent="0.25">
      <c r="A120" t="s">
        <v>137</v>
      </c>
      <c r="B120" t="s">
        <v>6</v>
      </c>
      <c r="C120" t="s">
        <v>14</v>
      </c>
      <c r="D120" t="s">
        <v>11</v>
      </c>
      <c r="E120" t="s">
        <v>9</v>
      </c>
    </row>
    <row r="121" spans="1:5" x14ac:dyDescent="0.25">
      <c r="A121" t="s">
        <v>138</v>
      </c>
      <c r="B121" t="s">
        <v>6</v>
      </c>
      <c r="C121" t="s">
        <v>7</v>
      </c>
      <c r="D121" t="s">
        <v>11</v>
      </c>
      <c r="E121" t="s">
        <v>24</v>
      </c>
    </row>
    <row r="122" spans="1:5" x14ac:dyDescent="0.25">
      <c r="A122" t="s">
        <v>139</v>
      </c>
      <c r="B122" t="s">
        <v>6</v>
      </c>
      <c r="C122" t="s">
        <v>7</v>
      </c>
      <c r="D122" t="s">
        <v>11</v>
      </c>
      <c r="E122" t="s">
        <v>19</v>
      </c>
    </row>
    <row r="123" spans="1:5" x14ac:dyDescent="0.25">
      <c r="A123" t="s">
        <v>140</v>
      </c>
      <c r="B123" t="s">
        <v>6</v>
      </c>
      <c r="C123" t="s">
        <v>7</v>
      </c>
      <c r="D123" t="s">
        <v>8</v>
      </c>
      <c r="E123" t="s">
        <v>9</v>
      </c>
    </row>
    <row r="124" spans="1:5" x14ac:dyDescent="0.25">
      <c r="A124" t="s">
        <v>141</v>
      </c>
      <c r="B124" t="s">
        <v>6</v>
      </c>
      <c r="C124" t="s">
        <v>7</v>
      </c>
      <c r="D124" t="s">
        <v>8</v>
      </c>
      <c r="E124" t="s">
        <v>9</v>
      </c>
    </row>
    <row r="125" spans="1:5" x14ac:dyDescent="0.25">
      <c r="A125" t="s">
        <v>142</v>
      </c>
      <c r="B125" t="s">
        <v>6</v>
      </c>
      <c r="C125" t="s">
        <v>7</v>
      </c>
      <c r="D125" t="s">
        <v>11</v>
      </c>
      <c r="E125" t="s">
        <v>21</v>
      </c>
    </row>
    <row r="126" spans="1:5" x14ac:dyDescent="0.25">
      <c r="A126" t="s">
        <v>143</v>
      </c>
      <c r="B126" t="s">
        <v>6</v>
      </c>
      <c r="C126" t="s">
        <v>7</v>
      </c>
      <c r="D126" t="s">
        <v>8</v>
      </c>
      <c r="E126" t="s">
        <v>19</v>
      </c>
    </row>
    <row r="127" spans="1:5" x14ac:dyDescent="0.25">
      <c r="A127" t="s">
        <v>144</v>
      </c>
      <c r="B127" t="s">
        <v>6</v>
      </c>
      <c r="C127" t="s">
        <v>14</v>
      </c>
      <c r="D127" t="s">
        <v>11</v>
      </c>
      <c r="E127" t="s">
        <v>9</v>
      </c>
    </row>
    <row r="128" spans="1:5" x14ac:dyDescent="0.25">
      <c r="A128" t="s">
        <v>145</v>
      </c>
      <c r="B128" t="s">
        <v>6</v>
      </c>
      <c r="C128" t="s">
        <v>14</v>
      </c>
      <c r="D128" t="s">
        <v>11</v>
      </c>
      <c r="E128" t="s">
        <v>16</v>
      </c>
    </row>
    <row r="129" spans="1:5" x14ac:dyDescent="0.25">
      <c r="A129" t="s">
        <v>146</v>
      </c>
      <c r="B129" t="s">
        <v>6</v>
      </c>
      <c r="C129" t="s">
        <v>7</v>
      </c>
      <c r="D129" t="s">
        <v>8</v>
      </c>
      <c r="E129" t="s">
        <v>16</v>
      </c>
    </row>
    <row r="130" spans="1:5" x14ac:dyDescent="0.25">
      <c r="A130" t="s">
        <v>147</v>
      </c>
      <c r="B130" t="s">
        <v>6</v>
      </c>
      <c r="C130" t="s">
        <v>14</v>
      </c>
      <c r="D130" t="s">
        <v>11</v>
      </c>
      <c r="E130" t="s">
        <v>19</v>
      </c>
    </row>
    <row r="131" spans="1:5" x14ac:dyDescent="0.25">
      <c r="A131" t="s">
        <v>148</v>
      </c>
      <c r="B131" t="s">
        <v>6</v>
      </c>
      <c r="C131" t="s">
        <v>7</v>
      </c>
      <c r="D131" t="s">
        <v>8</v>
      </c>
      <c r="E131" t="s">
        <v>16</v>
      </c>
    </row>
    <row r="132" spans="1:5" x14ac:dyDescent="0.25">
      <c r="A132" t="s">
        <v>149</v>
      </c>
      <c r="B132" t="s">
        <v>6</v>
      </c>
      <c r="C132" t="s">
        <v>7</v>
      </c>
      <c r="D132" t="s">
        <v>8</v>
      </c>
      <c r="E132" t="s">
        <v>9</v>
      </c>
    </row>
    <row r="133" spans="1:5" x14ac:dyDescent="0.25">
      <c r="A133" t="s">
        <v>150</v>
      </c>
      <c r="B133" t="s">
        <v>6</v>
      </c>
      <c r="C133" t="s">
        <v>7</v>
      </c>
      <c r="D133" t="s">
        <v>8</v>
      </c>
      <c r="E133" t="s">
        <v>19</v>
      </c>
    </row>
    <row r="134" spans="1:5" x14ac:dyDescent="0.25">
      <c r="A134" t="s">
        <v>151</v>
      </c>
      <c r="B134" t="s">
        <v>6</v>
      </c>
      <c r="C134" t="s">
        <v>14</v>
      </c>
      <c r="D134" t="s">
        <v>11</v>
      </c>
      <c r="E134" t="s">
        <v>9</v>
      </c>
    </row>
    <row r="135" spans="1:5" x14ac:dyDescent="0.25">
      <c r="A135" t="s">
        <v>152</v>
      </c>
      <c r="B135" t="s">
        <v>6</v>
      </c>
      <c r="C135" t="s">
        <v>7</v>
      </c>
      <c r="D135" t="s">
        <v>11</v>
      </c>
      <c r="E135" t="s">
        <v>19</v>
      </c>
    </row>
    <row r="136" spans="1:5" x14ac:dyDescent="0.25">
      <c r="A136" t="s">
        <v>153</v>
      </c>
      <c r="B136" t="s">
        <v>6</v>
      </c>
      <c r="C136" t="s">
        <v>7</v>
      </c>
      <c r="D136" t="s">
        <v>8</v>
      </c>
      <c r="E136" t="s">
        <v>9</v>
      </c>
    </row>
    <row r="137" spans="1:5" x14ac:dyDescent="0.25">
      <c r="A137" t="s">
        <v>154</v>
      </c>
      <c r="B137" t="s">
        <v>6</v>
      </c>
      <c r="C137" t="s">
        <v>14</v>
      </c>
      <c r="D137" t="s">
        <v>11</v>
      </c>
      <c r="E137" t="s">
        <v>26</v>
      </c>
    </row>
    <row r="138" spans="1:5" x14ac:dyDescent="0.25">
      <c r="A138" t="s">
        <v>155</v>
      </c>
      <c r="B138" t="s">
        <v>6</v>
      </c>
      <c r="C138" t="s">
        <v>7</v>
      </c>
      <c r="D138" t="s">
        <v>11</v>
      </c>
      <c r="E138" t="s">
        <v>24</v>
      </c>
    </row>
    <row r="139" spans="1:5" x14ac:dyDescent="0.25">
      <c r="A139" t="s">
        <v>156</v>
      </c>
      <c r="B139" t="s">
        <v>6</v>
      </c>
      <c r="C139" t="s">
        <v>7</v>
      </c>
      <c r="D139" t="s">
        <v>8</v>
      </c>
      <c r="E139" t="s">
        <v>29</v>
      </c>
    </row>
    <row r="140" spans="1:5" x14ac:dyDescent="0.25">
      <c r="A140" t="s">
        <v>157</v>
      </c>
      <c r="B140" t="s">
        <v>6</v>
      </c>
      <c r="C140" t="s">
        <v>14</v>
      </c>
      <c r="D140" t="s">
        <v>11</v>
      </c>
      <c r="E140" t="s">
        <v>16</v>
      </c>
    </row>
    <row r="141" spans="1:5" x14ac:dyDescent="0.25">
      <c r="A141" t="s">
        <v>158</v>
      </c>
      <c r="B141" t="s">
        <v>6</v>
      </c>
      <c r="C141" t="s">
        <v>7</v>
      </c>
      <c r="D141" t="s">
        <v>8</v>
      </c>
      <c r="E141" t="s">
        <v>24</v>
      </c>
    </row>
    <row r="142" spans="1:5" x14ac:dyDescent="0.25">
      <c r="A142" t="s">
        <v>159</v>
      </c>
      <c r="B142" t="s">
        <v>6</v>
      </c>
      <c r="C142" t="s">
        <v>7</v>
      </c>
      <c r="D142" t="s">
        <v>11</v>
      </c>
      <c r="E142" t="s">
        <v>9</v>
      </c>
    </row>
    <row r="143" spans="1:5" x14ac:dyDescent="0.25">
      <c r="A143" t="s">
        <v>160</v>
      </c>
      <c r="B143" t="s">
        <v>6</v>
      </c>
      <c r="C143" t="s">
        <v>7</v>
      </c>
      <c r="D143" t="s">
        <v>8</v>
      </c>
      <c r="E143" t="s">
        <v>19</v>
      </c>
    </row>
    <row r="144" spans="1:5" x14ac:dyDescent="0.25">
      <c r="A144" t="s">
        <v>161</v>
      </c>
      <c r="B144" t="s">
        <v>6</v>
      </c>
      <c r="C144" t="s">
        <v>14</v>
      </c>
      <c r="D144" t="s">
        <v>11</v>
      </c>
      <c r="E144" t="s">
        <v>19</v>
      </c>
    </row>
    <row r="145" spans="1:5" x14ac:dyDescent="0.25">
      <c r="A145" t="s">
        <v>162</v>
      </c>
      <c r="B145" t="s">
        <v>6</v>
      </c>
      <c r="C145" t="s">
        <v>7</v>
      </c>
      <c r="D145" t="s">
        <v>11</v>
      </c>
      <c r="E145" t="s">
        <v>9</v>
      </c>
    </row>
    <row r="146" spans="1:5" x14ac:dyDescent="0.25">
      <c r="A146" t="s">
        <v>163</v>
      </c>
      <c r="B146" t="s">
        <v>6</v>
      </c>
      <c r="C146" t="s">
        <v>7</v>
      </c>
      <c r="D146" t="s">
        <v>8</v>
      </c>
      <c r="E146" t="s">
        <v>9</v>
      </c>
    </row>
    <row r="147" spans="1:5" x14ac:dyDescent="0.25">
      <c r="A147" t="s">
        <v>164</v>
      </c>
      <c r="B147" t="s">
        <v>6</v>
      </c>
      <c r="C147" t="s">
        <v>7</v>
      </c>
      <c r="D147" t="s">
        <v>11</v>
      </c>
      <c r="E147" t="s">
        <v>19</v>
      </c>
    </row>
    <row r="148" spans="1:5" x14ac:dyDescent="0.25">
      <c r="A148" t="s">
        <v>165</v>
      </c>
      <c r="B148" t="s">
        <v>6</v>
      </c>
      <c r="C148" t="s">
        <v>7</v>
      </c>
      <c r="D148" t="s">
        <v>8</v>
      </c>
      <c r="E148" t="s">
        <v>19</v>
      </c>
    </row>
    <row r="149" spans="1:5" x14ac:dyDescent="0.25">
      <c r="A149" t="s">
        <v>166</v>
      </c>
      <c r="B149" t="s">
        <v>6</v>
      </c>
      <c r="C149" t="s">
        <v>14</v>
      </c>
      <c r="D149" t="s">
        <v>11</v>
      </c>
      <c r="E149" t="s">
        <v>9</v>
      </c>
    </row>
    <row r="150" spans="1:5" x14ac:dyDescent="0.25">
      <c r="A150" t="s">
        <v>167</v>
      </c>
      <c r="B150" t="s">
        <v>6</v>
      </c>
      <c r="C150" t="s">
        <v>14</v>
      </c>
      <c r="D150" t="s">
        <v>11</v>
      </c>
      <c r="E150" t="s">
        <v>19</v>
      </c>
    </row>
    <row r="151" spans="1:5" x14ac:dyDescent="0.25">
      <c r="A151" t="s">
        <v>168</v>
      </c>
      <c r="B151" t="s">
        <v>6</v>
      </c>
      <c r="C151" t="s">
        <v>7</v>
      </c>
      <c r="D151" t="s">
        <v>8</v>
      </c>
      <c r="E151" t="s">
        <v>16</v>
      </c>
    </row>
    <row r="152" spans="1:5" x14ac:dyDescent="0.25">
      <c r="A152" t="s">
        <v>169</v>
      </c>
      <c r="B152" t="s">
        <v>6</v>
      </c>
      <c r="C152" t="s">
        <v>14</v>
      </c>
      <c r="D152" t="s">
        <v>11</v>
      </c>
      <c r="E152" t="s">
        <v>19</v>
      </c>
    </row>
    <row r="153" spans="1:5" x14ac:dyDescent="0.25">
      <c r="A153" t="s">
        <v>170</v>
      </c>
      <c r="B153" t="s">
        <v>6</v>
      </c>
      <c r="C153" t="s">
        <v>7</v>
      </c>
      <c r="D153" t="s">
        <v>11</v>
      </c>
      <c r="E153" t="s">
        <v>9</v>
      </c>
    </row>
    <row r="154" spans="1:5" x14ac:dyDescent="0.25">
      <c r="A154" t="s">
        <v>171</v>
      </c>
      <c r="B154" t="s">
        <v>6</v>
      </c>
      <c r="C154" t="s">
        <v>7</v>
      </c>
      <c r="D154" t="s">
        <v>11</v>
      </c>
      <c r="E154" t="s">
        <v>9</v>
      </c>
    </row>
    <row r="155" spans="1:5" x14ac:dyDescent="0.25">
      <c r="A155" t="s">
        <v>172</v>
      </c>
      <c r="B155" t="s">
        <v>6</v>
      </c>
      <c r="C155" t="s">
        <v>7</v>
      </c>
      <c r="D155" t="s">
        <v>8</v>
      </c>
      <c r="E155" t="s">
        <v>9</v>
      </c>
    </row>
    <row r="156" spans="1:5" x14ac:dyDescent="0.25">
      <c r="A156" t="s">
        <v>173</v>
      </c>
      <c r="B156" t="s">
        <v>6</v>
      </c>
      <c r="C156" t="s">
        <v>14</v>
      </c>
      <c r="D156" t="s">
        <v>11</v>
      </c>
      <c r="E156" t="s">
        <v>24</v>
      </c>
    </row>
    <row r="157" spans="1:5" x14ac:dyDescent="0.25">
      <c r="A157" t="s">
        <v>174</v>
      </c>
      <c r="B157" t="s">
        <v>6</v>
      </c>
      <c r="C157" t="s">
        <v>7</v>
      </c>
      <c r="D157" t="s">
        <v>8</v>
      </c>
      <c r="E157" t="s">
        <v>24</v>
      </c>
    </row>
    <row r="158" spans="1:5" x14ac:dyDescent="0.25">
      <c r="A158" t="s">
        <v>175</v>
      </c>
      <c r="B158" t="s">
        <v>6</v>
      </c>
      <c r="C158" t="s">
        <v>14</v>
      </c>
      <c r="D158" t="s">
        <v>11</v>
      </c>
      <c r="E158" t="s">
        <v>19</v>
      </c>
    </row>
    <row r="159" spans="1:5" x14ac:dyDescent="0.25">
      <c r="A159" t="s">
        <v>176</v>
      </c>
      <c r="B159" t="s">
        <v>6</v>
      </c>
      <c r="C159" t="s">
        <v>14</v>
      </c>
      <c r="D159" t="s">
        <v>11</v>
      </c>
      <c r="E159" t="s">
        <v>9</v>
      </c>
    </row>
    <row r="160" spans="1:5" x14ac:dyDescent="0.25">
      <c r="A160" t="s">
        <v>177</v>
      </c>
      <c r="B160" t="s">
        <v>6</v>
      </c>
      <c r="C160" t="s">
        <v>14</v>
      </c>
      <c r="D160" t="s">
        <v>11</v>
      </c>
      <c r="E160" t="s">
        <v>24</v>
      </c>
    </row>
    <row r="161" spans="1:5" x14ac:dyDescent="0.25">
      <c r="A161" t="s">
        <v>178</v>
      </c>
      <c r="B161" t="s">
        <v>6</v>
      </c>
      <c r="C161" t="s">
        <v>7</v>
      </c>
      <c r="D161" t="s">
        <v>8</v>
      </c>
      <c r="E161" t="s">
        <v>29</v>
      </c>
    </row>
    <row r="162" spans="1:5" x14ac:dyDescent="0.25">
      <c r="A162" t="s">
        <v>179</v>
      </c>
      <c r="B162" t="s">
        <v>6</v>
      </c>
      <c r="C162" t="s">
        <v>7</v>
      </c>
      <c r="D162" t="s">
        <v>8</v>
      </c>
      <c r="E162" t="s">
        <v>19</v>
      </c>
    </row>
    <row r="163" spans="1:5" x14ac:dyDescent="0.25">
      <c r="A163" t="s">
        <v>180</v>
      </c>
      <c r="B163" t="s">
        <v>6</v>
      </c>
      <c r="C163" t="s">
        <v>7</v>
      </c>
      <c r="D163" t="s">
        <v>8</v>
      </c>
      <c r="E163" t="s">
        <v>24</v>
      </c>
    </row>
    <row r="164" spans="1:5" x14ac:dyDescent="0.25">
      <c r="A164" t="s">
        <v>181</v>
      </c>
      <c r="B164" t="s">
        <v>6</v>
      </c>
      <c r="C164" t="s">
        <v>14</v>
      </c>
      <c r="D164" t="s">
        <v>11</v>
      </c>
      <c r="E164" t="s">
        <v>19</v>
      </c>
    </row>
    <row r="165" spans="1:5" x14ac:dyDescent="0.25">
      <c r="A165" t="s">
        <v>182</v>
      </c>
      <c r="B165" t="s">
        <v>6</v>
      </c>
      <c r="C165" t="s">
        <v>7</v>
      </c>
      <c r="D165" t="s">
        <v>8</v>
      </c>
      <c r="E165" t="s">
        <v>16</v>
      </c>
    </row>
    <row r="166" spans="1:5" x14ac:dyDescent="0.25">
      <c r="A166" t="s">
        <v>183</v>
      </c>
      <c r="B166" t="s">
        <v>6</v>
      </c>
      <c r="C166" t="s">
        <v>7</v>
      </c>
      <c r="D166" t="s">
        <v>11</v>
      </c>
      <c r="E166" t="s">
        <v>16</v>
      </c>
    </row>
    <row r="167" spans="1:5" x14ac:dyDescent="0.25">
      <c r="A167" t="s">
        <v>184</v>
      </c>
      <c r="B167" t="s">
        <v>6</v>
      </c>
      <c r="C167" t="s">
        <v>7</v>
      </c>
      <c r="D167" t="s">
        <v>11</v>
      </c>
      <c r="E167" t="s">
        <v>16</v>
      </c>
    </row>
    <row r="168" spans="1:5" x14ac:dyDescent="0.25">
      <c r="A168" t="s">
        <v>185</v>
      </c>
      <c r="B168" t="s">
        <v>6</v>
      </c>
      <c r="C168" t="s">
        <v>14</v>
      </c>
      <c r="D168" t="s">
        <v>11</v>
      </c>
      <c r="E168" t="s">
        <v>9</v>
      </c>
    </row>
    <row r="169" spans="1:5" x14ac:dyDescent="0.25">
      <c r="A169" t="s">
        <v>186</v>
      </c>
      <c r="B169" t="s">
        <v>6</v>
      </c>
      <c r="C169" t="s">
        <v>7</v>
      </c>
      <c r="D169" t="s">
        <v>8</v>
      </c>
      <c r="E169" t="s">
        <v>16</v>
      </c>
    </row>
    <row r="170" spans="1:5" x14ac:dyDescent="0.25">
      <c r="A170" t="s">
        <v>187</v>
      </c>
      <c r="B170" t="s">
        <v>6</v>
      </c>
      <c r="C170" t="s">
        <v>7</v>
      </c>
      <c r="D170" t="s">
        <v>8</v>
      </c>
      <c r="E170" t="s">
        <v>16</v>
      </c>
    </row>
    <row r="171" spans="1:5" x14ac:dyDescent="0.25">
      <c r="A171" t="s">
        <v>188</v>
      </c>
      <c r="B171" t="s">
        <v>6</v>
      </c>
      <c r="C171" t="s">
        <v>14</v>
      </c>
      <c r="D171" t="s">
        <v>8</v>
      </c>
      <c r="E171" t="s">
        <v>24</v>
      </c>
    </row>
    <row r="172" spans="1:5" x14ac:dyDescent="0.25">
      <c r="A172" t="s">
        <v>189</v>
      </c>
      <c r="B172" t="s">
        <v>6</v>
      </c>
      <c r="C172" t="s">
        <v>7</v>
      </c>
      <c r="D172" t="s">
        <v>11</v>
      </c>
      <c r="E172" t="s">
        <v>19</v>
      </c>
    </row>
    <row r="173" spans="1:5" x14ac:dyDescent="0.25">
      <c r="A173" t="s">
        <v>190</v>
      </c>
      <c r="B173" t="s">
        <v>6</v>
      </c>
      <c r="C173" t="s">
        <v>14</v>
      </c>
      <c r="D173" t="s">
        <v>11</v>
      </c>
      <c r="E173" t="s">
        <v>19</v>
      </c>
    </row>
    <row r="174" spans="1:5" x14ac:dyDescent="0.25">
      <c r="A174" t="s">
        <v>191</v>
      </c>
      <c r="B174" t="s">
        <v>6</v>
      </c>
      <c r="C174" t="s">
        <v>14</v>
      </c>
      <c r="D174" t="s">
        <v>11</v>
      </c>
      <c r="E174" t="s">
        <v>24</v>
      </c>
    </row>
    <row r="175" spans="1:5" x14ac:dyDescent="0.25">
      <c r="A175" t="s">
        <v>192</v>
      </c>
      <c r="B175" t="s">
        <v>6</v>
      </c>
      <c r="C175" t="s">
        <v>14</v>
      </c>
      <c r="D175" t="s">
        <v>11</v>
      </c>
      <c r="E175" t="s">
        <v>16</v>
      </c>
    </row>
    <row r="176" spans="1:5" x14ac:dyDescent="0.25">
      <c r="A176" t="s">
        <v>193</v>
      </c>
      <c r="B176" t="s">
        <v>6</v>
      </c>
      <c r="C176" t="s">
        <v>14</v>
      </c>
      <c r="D176" t="s">
        <v>11</v>
      </c>
      <c r="E176" t="s">
        <v>24</v>
      </c>
    </row>
    <row r="177" spans="1:5" x14ac:dyDescent="0.25">
      <c r="A177" t="s">
        <v>194</v>
      </c>
      <c r="B177" t="s">
        <v>6</v>
      </c>
      <c r="C177" t="s">
        <v>14</v>
      </c>
      <c r="D177" t="s">
        <v>11</v>
      </c>
      <c r="E177" t="s">
        <v>19</v>
      </c>
    </row>
    <row r="178" spans="1:5" x14ac:dyDescent="0.25">
      <c r="A178" t="s">
        <v>195</v>
      </c>
      <c r="B178" t="s">
        <v>6</v>
      </c>
      <c r="C178" t="s">
        <v>7</v>
      </c>
      <c r="D178" t="s">
        <v>8</v>
      </c>
      <c r="E178" t="s">
        <v>9</v>
      </c>
    </row>
    <row r="179" spans="1:5" x14ac:dyDescent="0.25">
      <c r="A179" t="s">
        <v>196</v>
      </c>
      <c r="B179" t="s">
        <v>6</v>
      </c>
      <c r="C179" t="s">
        <v>7</v>
      </c>
      <c r="D179" t="s">
        <v>11</v>
      </c>
      <c r="E179" t="s">
        <v>19</v>
      </c>
    </row>
    <row r="180" spans="1:5" x14ac:dyDescent="0.25">
      <c r="A180" t="s">
        <v>197</v>
      </c>
      <c r="B180" t="s">
        <v>6</v>
      </c>
      <c r="C180" t="s">
        <v>7</v>
      </c>
      <c r="D180" t="s">
        <v>8</v>
      </c>
      <c r="E180" t="s">
        <v>19</v>
      </c>
    </row>
    <row r="181" spans="1:5" x14ac:dyDescent="0.25">
      <c r="A181" t="s">
        <v>198</v>
      </c>
      <c r="B181" t="s">
        <v>6</v>
      </c>
      <c r="C181" t="s">
        <v>14</v>
      </c>
      <c r="D181" t="s">
        <v>11</v>
      </c>
      <c r="E181" t="s">
        <v>9</v>
      </c>
    </row>
    <row r="182" spans="1:5" x14ac:dyDescent="0.25">
      <c r="A182" t="s">
        <v>199</v>
      </c>
      <c r="B182" t="s">
        <v>6</v>
      </c>
      <c r="C182" t="s">
        <v>7</v>
      </c>
      <c r="D182" t="s">
        <v>8</v>
      </c>
      <c r="E182" t="s">
        <v>16</v>
      </c>
    </row>
    <row r="183" spans="1:5" x14ac:dyDescent="0.25">
      <c r="A183" t="s">
        <v>200</v>
      </c>
      <c r="B183" t="s">
        <v>6</v>
      </c>
      <c r="C183" t="s">
        <v>7</v>
      </c>
      <c r="D183" t="s">
        <v>8</v>
      </c>
      <c r="E183" t="s">
        <v>19</v>
      </c>
    </row>
    <row r="184" spans="1:5" x14ac:dyDescent="0.25">
      <c r="A184" t="s">
        <v>201</v>
      </c>
      <c r="B184" t="s">
        <v>6</v>
      </c>
      <c r="C184" t="s">
        <v>7</v>
      </c>
      <c r="D184" t="s">
        <v>8</v>
      </c>
      <c r="E184" t="s">
        <v>16</v>
      </c>
    </row>
    <row r="185" spans="1:5" x14ac:dyDescent="0.25">
      <c r="A185" t="s">
        <v>202</v>
      </c>
      <c r="B185" t="s">
        <v>6</v>
      </c>
      <c r="C185" t="s">
        <v>7</v>
      </c>
      <c r="D185" t="s">
        <v>11</v>
      </c>
      <c r="E185" t="s">
        <v>16</v>
      </c>
    </row>
    <row r="186" spans="1:5" x14ac:dyDescent="0.25">
      <c r="A186" t="s">
        <v>203</v>
      </c>
      <c r="B186" t="s">
        <v>6</v>
      </c>
      <c r="C186" t="s">
        <v>14</v>
      </c>
      <c r="D186" t="s">
        <v>11</v>
      </c>
      <c r="E186" t="s">
        <v>9</v>
      </c>
    </row>
    <row r="187" spans="1:5" x14ac:dyDescent="0.25">
      <c r="A187" t="s">
        <v>204</v>
      </c>
      <c r="B187" t="s">
        <v>6</v>
      </c>
      <c r="C187" t="s">
        <v>14</v>
      </c>
      <c r="D187" t="s">
        <v>11</v>
      </c>
      <c r="E187" t="s">
        <v>19</v>
      </c>
    </row>
    <row r="188" spans="1:5" x14ac:dyDescent="0.25">
      <c r="A188" t="s">
        <v>205</v>
      </c>
      <c r="B188" t="s">
        <v>6</v>
      </c>
      <c r="C188" t="s">
        <v>7</v>
      </c>
      <c r="D188" t="s">
        <v>8</v>
      </c>
      <c r="E188" t="s">
        <v>24</v>
      </c>
    </row>
    <row r="189" spans="1:5" x14ac:dyDescent="0.25">
      <c r="A189" t="s">
        <v>206</v>
      </c>
      <c r="B189" t="s">
        <v>6</v>
      </c>
      <c r="C189" t="s">
        <v>7</v>
      </c>
      <c r="D189" t="s">
        <v>8</v>
      </c>
      <c r="E189" t="s">
        <v>29</v>
      </c>
    </row>
    <row r="190" spans="1:5" x14ac:dyDescent="0.25">
      <c r="A190" t="s">
        <v>207</v>
      </c>
      <c r="B190" t="s">
        <v>6</v>
      </c>
      <c r="C190" t="s">
        <v>7</v>
      </c>
      <c r="D190" t="s">
        <v>8</v>
      </c>
      <c r="E190" t="s">
        <v>24</v>
      </c>
    </row>
    <row r="191" spans="1:5" x14ac:dyDescent="0.25">
      <c r="A191" t="s">
        <v>208</v>
      </c>
      <c r="B191" t="s">
        <v>6</v>
      </c>
      <c r="C191" t="s">
        <v>14</v>
      </c>
      <c r="D191" t="s">
        <v>11</v>
      </c>
      <c r="E191" t="s">
        <v>9</v>
      </c>
    </row>
    <row r="192" spans="1:5" x14ac:dyDescent="0.25">
      <c r="A192" t="s">
        <v>209</v>
      </c>
      <c r="B192" t="s">
        <v>6</v>
      </c>
      <c r="C192" t="s">
        <v>7</v>
      </c>
      <c r="D192" t="s">
        <v>8</v>
      </c>
      <c r="E192" t="s">
        <v>9</v>
      </c>
    </row>
    <row r="193" spans="1:5" x14ac:dyDescent="0.25">
      <c r="A193" t="s">
        <v>210</v>
      </c>
      <c r="B193" t="s">
        <v>6</v>
      </c>
      <c r="C193" t="s">
        <v>14</v>
      </c>
      <c r="D193" t="s">
        <v>11</v>
      </c>
      <c r="E193" t="s">
        <v>16</v>
      </c>
    </row>
    <row r="194" spans="1:5" x14ac:dyDescent="0.25">
      <c r="A194" t="s">
        <v>211</v>
      </c>
      <c r="B194" t="s">
        <v>6</v>
      </c>
      <c r="C194" t="s">
        <v>7</v>
      </c>
      <c r="D194" t="s">
        <v>8</v>
      </c>
      <c r="E194" t="s">
        <v>24</v>
      </c>
    </row>
    <row r="195" spans="1:5" x14ac:dyDescent="0.25">
      <c r="A195" t="s">
        <v>212</v>
      </c>
      <c r="B195" t="s">
        <v>6</v>
      </c>
      <c r="C195" t="s">
        <v>7</v>
      </c>
      <c r="D195" t="s">
        <v>8</v>
      </c>
      <c r="E195" t="s">
        <v>29</v>
      </c>
    </row>
    <row r="196" spans="1:5" x14ac:dyDescent="0.25">
      <c r="A196" t="s">
        <v>213</v>
      </c>
      <c r="B196" t="s">
        <v>6</v>
      </c>
      <c r="C196" t="s">
        <v>14</v>
      </c>
      <c r="D196" t="s">
        <v>11</v>
      </c>
      <c r="E196" t="s">
        <v>16</v>
      </c>
    </row>
    <row r="197" spans="1:5" x14ac:dyDescent="0.25">
      <c r="A197" t="s">
        <v>214</v>
      </c>
      <c r="B197" t="s">
        <v>6</v>
      </c>
      <c r="C197" t="s">
        <v>7</v>
      </c>
      <c r="D197" t="s">
        <v>8</v>
      </c>
      <c r="E197" t="s">
        <v>29</v>
      </c>
    </row>
    <row r="198" spans="1:5" x14ac:dyDescent="0.25">
      <c r="A198" t="s">
        <v>215</v>
      </c>
      <c r="B198" t="s">
        <v>6</v>
      </c>
      <c r="C198" t="s">
        <v>7</v>
      </c>
      <c r="D198" t="s">
        <v>11</v>
      </c>
      <c r="E198" t="s">
        <v>9</v>
      </c>
    </row>
    <row r="199" spans="1:5" x14ac:dyDescent="0.25">
      <c r="A199" t="s">
        <v>216</v>
      </c>
      <c r="B199" t="s">
        <v>6</v>
      </c>
      <c r="C199" t="s">
        <v>14</v>
      </c>
      <c r="D199" t="s">
        <v>11</v>
      </c>
      <c r="E199" t="s">
        <v>29</v>
      </c>
    </row>
    <row r="200" spans="1:5" x14ac:dyDescent="0.25">
      <c r="A200" t="s">
        <v>217</v>
      </c>
      <c r="B200" t="s">
        <v>6</v>
      </c>
      <c r="C200" t="s">
        <v>7</v>
      </c>
      <c r="D200" t="s">
        <v>8</v>
      </c>
      <c r="E200" t="s">
        <v>29</v>
      </c>
    </row>
    <row r="201" spans="1:5" x14ac:dyDescent="0.25">
      <c r="A201" t="s">
        <v>218</v>
      </c>
      <c r="B201" t="s">
        <v>6</v>
      </c>
      <c r="C201" t="s">
        <v>7</v>
      </c>
      <c r="D201" t="s">
        <v>8</v>
      </c>
      <c r="E201" t="s">
        <v>9</v>
      </c>
    </row>
    <row r="202" spans="1:5" x14ac:dyDescent="0.25">
      <c r="A202" t="s">
        <v>219</v>
      </c>
      <c r="B202" t="s">
        <v>6</v>
      </c>
      <c r="C202" t="s">
        <v>14</v>
      </c>
      <c r="D202" t="s">
        <v>11</v>
      </c>
      <c r="E202" t="s">
        <v>19</v>
      </c>
    </row>
    <row r="203" spans="1:5" x14ac:dyDescent="0.25">
      <c r="A203" t="s">
        <v>220</v>
      </c>
      <c r="B203" t="s">
        <v>6</v>
      </c>
      <c r="C203" t="s">
        <v>14</v>
      </c>
      <c r="D203" t="s">
        <v>11</v>
      </c>
      <c r="E203" t="s">
        <v>24</v>
      </c>
    </row>
    <row r="204" spans="1:5" x14ac:dyDescent="0.25">
      <c r="A204" t="s">
        <v>221</v>
      </c>
      <c r="B204" t="s">
        <v>6</v>
      </c>
      <c r="C204" t="s">
        <v>7</v>
      </c>
      <c r="D204" t="s">
        <v>11</v>
      </c>
      <c r="E204" t="s">
        <v>16</v>
      </c>
    </row>
    <row r="205" spans="1:5" x14ac:dyDescent="0.25">
      <c r="A205" t="s">
        <v>222</v>
      </c>
      <c r="B205" t="s">
        <v>6</v>
      </c>
      <c r="C205" t="s">
        <v>14</v>
      </c>
      <c r="D205" t="s">
        <v>11</v>
      </c>
      <c r="E205" t="s">
        <v>9</v>
      </c>
    </row>
    <row r="206" spans="1:5" x14ac:dyDescent="0.25">
      <c r="A206" t="s">
        <v>223</v>
      </c>
      <c r="B206" t="s">
        <v>6</v>
      </c>
      <c r="C206" t="s">
        <v>7</v>
      </c>
      <c r="D206" t="s">
        <v>8</v>
      </c>
      <c r="E206" t="s">
        <v>9</v>
      </c>
    </row>
    <row r="207" spans="1:5" x14ac:dyDescent="0.25">
      <c r="A207" t="s">
        <v>224</v>
      </c>
      <c r="B207" t="s">
        <v>6</v>
      </c>
      <c r="C207" t="s">
        <v>14</v>
      </c>
      <c r="D207" t="s">
        <v>11</v>
      </c>
      <c r="E207" t="s">
        <v>21</v>
      </c>
    </row>
    <row r="208" spans="1:5" x14ac:dyDescent="0.25">
      <c r="A208" t="s">
        <v>225</v>
      </c>
      <c r="B208" t="s">
        <v>6</v>
      </c>
      <c r="C208" t="s">
        <v>14</v>
      </c>
      <c r="D208" t="s">
        <v>11</v>
      </c>
      <c r="E208" t="s">
        <v>19</v>
      </c>
    </row>
    <row r="209" spans="1:5" x14ac:dyDescent="0.25">
      <c r="A209" t="s">
        <v>226</v>
      </c>
      <c r="B209" t="s">
        <v>6</v>
      </c>
      <c r="C209" t="s">
        <v>7</v>
      </c>
      <c r="D209" t="s">
        <v>8</v>
      </c>
      <c r="E209" t="s">
        <v>16</v>
      </c>
    </row>
    <row r="210" spans="1:5" x14ac:dyDescent="0.25">
      <c r="A210" t="s">
        <v>227</v>
      </c>
      <c r="B210" t="s">
        <v>6</v>
      </c>
      <c r="C210" t="s">
        <v>7</v>
      </c>
      <c r="D210" t="s">
        <v>8</v>
      </c>
      <c r="E210" t="s">
        <v>16</v>
      </c>
    </row>
    <row r="211" spans="1:5" x14ac:dyDescent="0.25">
      <c r="A211" t="s">
        <v>228</v>
      </c>
      <c r="B211" t="s">
        <v>6</v>
      </c>
      <c r="C211" t="s">
        <v>7</v>
      </c>
      <c r="D211" t="s">
        <v>11</v>
      </c>
      <c r="E211" t="s">
        <v>16</v>
      </c>
    </row>
    <row r="212" spans="1:5" x14ac:dyDescent="0.25">
      <c r="A212" t="s">
        <v>229</v>
      </c>
      <c r="B212" t="s">
        <v>6</v>
      </c>
      <c r="C212" t="s">
        <v>14</v>
      </c>
      <c r="D212" t="s">
        <v>11</v>
      </c>
      <c r="E212" t="s">
        <v>24</v>
      </c>
    </row>
    <row r="213" spans="1:5" x14ac:dyDescent="0.25">
      <c r="A213" t="s">
        <v>230</v>
      </c>
      <c r="B213" t="s">
        <v>6</v>
      </c>
      <c r="C213" t="s">
        <v>14</v>
      </c>
      <c r="D213" t="s">
        <v>11</v>
      </c>
      <c r="E213" t="s">
        <v>19</v>
      </c>
    </row>
    <row r="214" spans="1:5" x14ac:dyDescent="0.25">
      <c r="A214" t="s">
        <v>231</v>
      </c>
      <c r="B214" t="s">
        <v>6</v>
      </c>
      <c r="C214" t="s">
        <v>14</v>
      </c>
      <c r="D214" t="s">
        <v>11</v>
      </c>
      <c r="E214" t="s">
        <v>16</v>
      </c>
    </row>
    <row r="215" spans="1:5" x14ac:dyDescent="0.25">
      <c r="A215" t="s">
        <v>232</v>
      </c>
      <c r="B215" t="s">
        <v>6</v>
      </c>
      <c r="C215" t="s">
        <v>7</v>
      </c>
      <c r="D215" t="s">
        <v>8</v>
      </c>
      <c r="E215" t="s">
        <v>16</v>
      </c>
    </row>
    <row r="216" spans="1:5" x14ac:dyDescent="0.25">
      <c r="A216" t="s">
        <v>233</v>
      </c>
      <c r="B216" t="s">
        <v>6</v>
      </c>
      <c r="C216" t="s">
        <v>7</v>
      </c>
      <c r="D216" t="s">
        <v>8</v>
      </c>
      <c r="E216" t="s">
        <v>9</v>
      </c>
    </row>
    <row r="217" spans="1:5" x14ac:dyDescent="0.25">
      <c r="A217" t="s">
        <v>234</v>
      </c>
      <c r="B217" t="s">
        <v>6</v>
      </c>
      <c r="C217" t="s">
        <v>14</v>
      </c>
      <c r="D217" t="s">
        <v>11</v>
      </c>
      <c r="E217" t="s">
        <v>24</v>
      </c>
    </row>
    <row r="218" spans="1:5" x14ac:dyDescent="0.25">
      <c r="A218" t="s">
        <v>235</v>
      </c>
      <c r="B218" t="s">
        <v>6</v>
      </c>
      <c r="C218" t="s">
        <v>7</v>
      </c>
      <c r="D218" t="s">
        <v>8</v>
      </c>
      <c r="E218" t="s">
        <v>29</v>
      </c>
    </row>
    <row r="219" spans="1:5" x14ac:dyDescent="0.25">
      <c r="A219" t="s">
        <v>236</v>
      </c>
      <c r="B219" t="s">
        <v>6</v>
      </c>
      <c r="C219" t="s">
        <v>14</v>
      </c>
      <c r="D219" t="s">
        <v>11</v>
      </c>
      <c r="E219" t="s">
        <v>21</v>
      </c>
    </row>
    <row r="220" spans="1:5" x14ac:dyDescent="0.25">
      <c r="A220" t="s">
        <v>237</v>
      </c>
      <c r="B220" t="s">
        <v>6</v>
      </c>
      <c r="C220" t="s">
        <v>7</v>
      </c>
      <c r="D220" t="s">
        <v>8</v>
      </c>
      <c r="E220" t="s">
        <v>16</v>
      </c>
    </row>
    <row r="221" spans="1:5" x14ac:dyDescent="0.25">
      <c r="A221" t="s">
        <v>238</v>
      </c>
      <c r="B221" t="s">
        <v>6</v>
      </c>
      <c r="C221" t="s">
        <v>7</v>
      </c>
      <c r="D221" t="s">
        <v>11</v>
      </c>
      <c r="E221" t="s">
        <v>9</v>
      </c>
    </row>
    <row r="222" spans="1:5" x14ac:dyDescent="0.25">
      <c r="A222" t="s">
        <v>239</v>
      </c>
      <c r="B222" t="s">
        <v>6</v>
      </c>
      <c r="C222" t="s">
        <v>7</v>
      </c>
      <c r="D222" t="s">
        <v>8</v>
      </c>
      <c r="E222" t="s">
        <v>9</v>
      </c>
    </row>
    <row r="223" spans="1:5" x14ac:dyDescent="0.25">
      <c r="A223" t="s">
        <v>240</v>
      </c>
      <c r="B223" t="s">
        <v>6</v>
      </c>
      <c r="C223" t="s">
        <v>14</v>
      </c>
      <c r="D223" t="s">
        <v>11</v>
      </c>
      <c r="E223" t="s">
        <v>21</v>
      </c>
    </row>
    <row r="224" spans="1:5" x14ac:dyDescent="0.25">
      <c r="A224" t="s">
        <v>241</v>
      </c>
      <c r="B224" t="s">
        <v>6</v>
      </c>
      <c r="C224" t="s">
        <v>14</v>
      </c>
      <c r="D224" t="s">
        <v>11</v>
      </c>
      <c r="E224" t="s">
        <v>9</v>
      </c>
    </row>
    <row r="225" spans="1:5" x14ac:dyDescent="0.25">
      <c r="A225" t="s">
        <v>242</v>
      </c>
      <c r="B225" t="s">
        <v>6</v>
      </c>
      <c r="C225" t="s">
        <v>14</v>
      </c>
      <c r="D225" t="s">
        <v>11</v>
      </c>
      <c r="E225" t="s">
        <v>9</v>
      </c>
    </row>
    <row r="226" spans="1:5" x14ac:dyDescent="0.25">
      <c r="A226" t="s">
        <v>243</v>
      </c>
      <c r="B226" t="s">
        <v>6</v>
      </c>
      <c r="C226" t="s">
        <v>14</v>
      </c>
      <c r="D226" t="s">
        <v>11</v>
      </c>
      <c r="E226" t="s">
        <v>19</v>
      </c>
    </row>
    <row r="227" spans="1:5" x14ac:dyDescent="0.25">
      <c r="A227" t="s">
        <v>244</v>
      </c>
      <c r="B227" t="s">
        <v>6</v>
      </c>
      <c r="C227" t="s">
        <v>14</v>
      </c>
      <c r="D227" t="s">
        <v>11</v>
      </c>
      <c r="E227" t="s">
        <v>9</v>
      </c>
    </row>
    <row r="228" spans="1:5" x14ac:dyDescent="0.25">
      <c r="A228" t="s">
        <v>245</v>
      </c>
      <c r="B228" t="s">
        <v>6</v>
      </c>
      <c r="C228" t="s">
        <v>14</v>
      </c>
      <c r="D228" t="s">
        <v>11</v>
      </c>
      <c r="E228" t="s">
        <v>9</v>
      </c>
    </row>
    <row r="229" spans="1:5" x14ac:dyDescent="0.25">
      <c r="A229" t="s">
        <v>246</v>
      </c>
      <c r="B229" t="s">
        <v>6</v>
      </c>
      <c r="C229" t="s">
        <v>7</v>
      </c>
      <c r="D229" t="s">
        <v>8</v>
      </c>
      <c r="E229" t="s">
        <v>9</v>
      </c>
    </row>
    <row r="230" spans="1:5" x14ac:dyDescent="0.25">
      <c r="A230" t="s">
        <v>247</v>
      </c>
      <c r="B230" t="s">
        <v>6</v>
      </c>
      <c r="C230" t="s">
        <v>14</v>
      </c>
      <c r="D230" t="s">
        <v>11</v>
      </c>
      <c r="E230" t="s">
        <v>29</v>
      </c>
    </row>
    <row r="231" spans="1:5" x14ac:dyDescent="0.25">
      <c r="A231" t="s">
        <v>248</v>
      </c>
      <c r="B231" t="s">
        <v>6</v>
      </c>
      <c r="C231" t="s">
        <v>7</v>
      </c>
      <c r="D231" t="s">
        <v>8</v>
      </c>
      <c r="E231" t="s">
        <v>29</v>
      </c>
    </row>
    <row r="232" spans="1:5" x14ac:dyDescent="0.25">
      <c r="A232" t="s">
        <v>249</v>
      </c>
      <c r="B232" t="s">
        <v>6</v>
      </c>
      <c r="C232" t="s">
        <v>7</v>
      </c>
      <c r="D232" t="s">
        <v>8</v>
      </c>
      <c r="E232" t="s">
        <v>16</v>
      </c>
    </row>
    <row r="233" spans="1:5" x14ac:dyDescent="0.25">
      <c r="A233" t="s">
        <v>250</v>
      </c>
      <c r="B233" t="s">
        <v>6</v>
      </c>
      <c r="C233" t="s">
        <v>7</v>
      </c>
      <c r="D233" t="s">
        <v>11</v>
      </c>
      <c r="E233" t="s">
        <v>24</v>
      </c>
    </row>
    <row r="234" spans="1:5" x14ac:dyDescent="0.25">
      <c r="A234" t="s">
        <v>251</v>
      </c>
      <c r="B234" t="s">
        <v>6</v>
      </c>
      <c r="C234" t="s">
        <v>14</v>
      </c>
      <c r="D234" t="s">
        <v>11</v>
      </c>
      <c r="E234" t="s">
        <v>19</v>
      </c>
    </row>
    <row r="235" spans="1:5" x14ac:dyDescent="0.25">
      <c r="A235" t="s">
        <v>252</v>
      </c>
      <c r="B235" t="s">
        <v>6</v>
      </c>
      <c r="C235" t="s">
        <v>7</v>
      </c>
      <c r="D235" t="s">
        <v>8</v>
      </c>
      <c r="E235" t="s">
        <v>24</v>
      </c>
    </row>
    <row r="236" spans="1:5" x14ac:dyDescent="0.25">
      <c r="A236" t="s">
        <v>253</v>
      </c>
      <c r="B236" t="s">
        <v>6</v>
      </c>
      <c r="C236" t="s">
        <v>14</v>
      </c>
      <c r="D236" t="s">
        <v>11</v>
      </c>
      <c r="E236" t="s">
        <v>16</v>
      </c>
    </row>
    <row r="237" spans="1:5" x14ac:dyDescent="0.25">
      <c r="A237" t="s">
        <v>254</v>
      </c>
      <c r="B237" t="s">
        <v>6</v>
      </c>
      <c r="C237" t="s">
        <v>7</v>
      </c>
      <c r="D237" t="s">
        <v>11</v>
      </c>
      <c r="E237" t="s">
        <v>9</v>
      </c>
    </row>
    <row r="238" spans="1:5" x14ac:dyDescent="0.25">
      <c r="A238" t="s">
        <v>255</v>
      </c>
      <c r="B238" t="s">
        <v>6</v>
      </c>
      <c r="C238" t="s">
        <v>14</v>
      </c>
      <c r="D238" t="s">
        <v>11</v>
      </c>
      <c r="E238" t="s">
        <v>9</v>
      </c>
    </row>
    <row r="239" spans="1:5" x14ac:dyDescent="0.25">
      <c r="A239" t="s">
        <v>256</v>
      </c>
      <c r="B239" t="s">
        <v>6</v>
      </c>
      <c r="C239" t="s">
        <v>14</v>
      </c>
      <c r="D239" t="s">
        <v>11</v>
      </c>
      <c r="E239" t="s">
        <v>9</v>
      </c>
    </row>
    <row r="240" spans="1:5" x14ac:dyDescent="0.25">
      <c r="A240" t="s">
        <v>257</v>
      </c>
      <c r="B240" t="s">
        <v>6</v>
      </c>
      <c r="C240" t="s">
        <v>7</v>
      </c>
      <c r="D240" t="s">
        <v>8</v>
      </c>
      <c r="E240" t="s">
        <v>19</v>
      </c>
    </row>
    <row r="241" spans="1:5" x14ac:dyDescent="0.25">
      <c r="A241" t="s">
        <v>258</v>
      </c>
      <c r="B241" t="s">
        <v>6</v>
      </c>
      <c r="C241" t="s">
        <v>14</v>
      </c>
      <c r="D241" t="s">
        <v>11</v>
      </c>
      <c r="E241" t="s">
        <v>16</v>
      </c>
    </row>
    <row r="242" spans="1:5" x14ac:dyDescent="0.25">
      <c r="A242" t="s">
        <v>259</v>
      </c>
      <c r="B242" t="s">
        <v>6</v>
      </c>
      <c r="C242" t="s">
        <v>7</v>
      </c>
      <c r="D242" t="s">
        <v>11</v>
      </c>
      <c r="E242" t="s">
        <v>19</v>
      </c>
    </row>
    <row r="243" spans="1:5" x14ac:dyDescent="0.25">
      <c r="A243" t="s">
        <v>260</v>
      </c>
      <c r="B243" t="s">
        <v>6</v>
      </c>
      <c r="C243" t="s">
        <v>14</v>
      </c>
      <c r="D243" t="s">
        <v>11</v>
      </c>
      <c r="E243" t="s">
        <v>9</v>
      </c>
    </row>
    <row r="244" spans="1:5" x14ac:dyDescent="0.25">
      <c r="A244" t="s">
        <v>261</v>
      </c>
      <c r="B244" t="s">
        <v>6</v>
      </c>
      <c r="C244" t="s">
        <v>7</v>
      </c>
      <c r="D244" t="s">
        <v>8</v>
      </c>
      <c r="E244" t="s">
        <v>16</v>
      </c>
    </row>
    <row r="245" spans="1:5" x14ac:dyDescent="0.25">
      <c r="A245" t="s">
        <v>262</v>
      </c>
      <c r="B245" t="s">
        <v>6</v>
      </c>
      <c r="C245" t="s">
        <v>14</v>
      </c>
      <c r="D245" t="s">
        <v>11</v>
      </c>
      <c r="E245" t="s">
        <v>19</v>
      </c>
    </row>
    <row r="246" spans="1:5" x14ac:dyDescent="0.25">
      <c r="A246" t="s">
        <v>263</v>
      </c>
      <c r="B246" t="s">
        <v>6</v>
      </c>
      <c r="C246" t="s">
        <v>14</v>
      </c>
      <c r="D246" t="s">
        <v>11</v>
      </c>
      <c r="E246" t="s">
        <v>16</v>
      </c>
    </row>
    <row r="247" spans="1:5" x14ac:dyDescent="0.25">
      <c r="A247" t="s">
        <v>264</v>
      </c>
      <c r="B247" t="s">
        <v>6</v>
      </c>
      <c r="C247" t="s">
        <v>7</v>
      </c>
      <c r="D247" t="s">
        <v>8</v>
      </c>
      <c r="E247" t="s">
        <v>16</v>
      </c>
    </row>
    <row r="248" spans="1:5" x14ac:dyDescent="0.25">
      <c r="A248" t="s">
        <v>265</v>
      </c>
      <c r="B248" t="s">
        <v>6</v>
      </c>
      <c r="C248" t="s">
        <v>14</v>
      </c>
      <c r="D248" t="s">
        <v>11</v>
      </c>
      <c r="E248" t="s">
        <v>24</v>
      </c>
    </row>
    <row r="249" spans="1:5" x14ac:dyDescent="0.25">
      <c r="A249" t="s">
        <v>266</v>
      </c>
      <c r="B249" t="s">
        <v>6</v>
      </c>
      <c r="C249" t="s">
        <v>7</v>
      </c>
      <c r="D249" t="s">
        <v>8</v>
      </c>
      <c r="E249" t="s">
        <v>24</v>
      </c>
    </row>
    <row r="250" spans="1:5" x14ac:dyDescent="0.25">
      <c r="A250" t="s">
        <v>267</v>
      </c>
      <c r="B250" t="s">
        <v>6</v>
      </c>
      <c r="C250" t="s">
        <v>14</v>
      </c>
      <c r="D250" t="s">
        <v>11</v>
      </c>
      <c r="E250" t="s">
        <v>16</v>
      </c>
    </row>
    <row r="251" spans="1:5" x14ac:dyDescent="0.25">
      <c r="A251" t="s">
        <v>268</v>
      </c>
      <c r="B251" t="s">
        <v>6</v>
      </c>
      <c r="C251" t="s">
        <v>7</v>
      </c>
      <c r="D251" t="s">
        <v>11</v>
      </c>
      <c r="E251" t="s">
        <v>29</v>
      </c>
    </row>
    <row r="252" spans="1:5" x14ac:dyDescent="0.25">
      <c r="A252" t="s">
        <v>269</v>
      </c>
      <c r="B252" t="s">
        <v>6</v>
      </c>
      <c r="C252" t="s">
        <v>7</v>
      </c>
      <c r="D252" t="s">
        <v>8</v>
      </c>
      <c r="E252" t="s">
        <v>29</v>
      </c>
    </row>
    <row r="253" spans="1:5" x14ac:dyDescent="0.25">
      <c r="A253" t="s">
        <v>270</v>
      </c>
      <c r="B253" t="s">
        <v>6</v>
      </c>
      <c r="C253" t="s">
        <v>7</v>
      </c>
      <c r="D253" t="s">
        <v>8</v>
      </c>
      <c r="E253" t="s">
        <v>9</v>
      </c>
    </row>
    <row r="254" spans="1:5" x14ac:dyDescent="0.25">
      <c r="A254" t="s">
        <v>271</v>
      </c>
      <c r="B254" t="s">
        <v>6</v>
      </c>
      <c r="C254" t="s">
        <v>14</v>
      </c>
      <c r="D254" t="s">
        <v>11</v>
      </c>
      <c r="E254" t="s">
        <v>21</v>
      </c>
    </row>
    <row r="255" spans="1:5" x14ac:dyDescent="0.25">
      <c r="A255" t="s">
        <v>272</v>
      </c>
      <c r="B255" t="s">
        <v>6</v>
      </c>
      <c r="C255" t="s">
        <v>7</v>
      </c>
      <c r="D255" t="s">
        <v>8</v>
      </c>
      <c r="E255" t="s">
        <v>19</v>
      </c>
    </row>
    <row r="256" spans="1:5" x14ac:dyDescent="0.25">
      <c r="A256" t="s">
        <v>273</v>
      </c>
      <c r="B256" t="s">
        <v>6</v>
      </c>
      <c r="C256" t="s">
        <v>7</v>
      </c>
      <c r="D256" t="s">
        <v>11</v>
      </c>
      <c r="E256" t="s">
        <v>9</v>
      </c>
    </row>
    <row r="257" spans="1:5" x14ac:dyDescent="0.25">
      <c r="A257" t="s">
        <v>274</v>
      </c>
      <c r="B257" t="s">
        <v>6</v>
      </c>
      <c r="C257" t="s">
        <v>7</v>
      </c>
      <c r="D257" t="s">
        <v>8</v>
      </c>
      <c r="E257" t="s">
        <v>9</v>
      </c>
    </row>
    <row r="258" spans="1:5" x14ac:dyDescent="0.25">
      <c r="A258" t="s">
        <v>275</v>
      </c>
      <c r="B258" t="s">
        <v>6</v>
      </c>
      <c r="C258" t="s">
        <v>7</v>
      </c>
      <c r="D258" t="s">
        <v>11</v>
      </c>
      <c r="E258" t="s">
        <v>9</v>
      </c>
    </row>
    <row r="259" spans="1:5" x14ac:dyDescent="0.25">
      <c r="A259" t="s">
        <v>276</v>
      </c>
      <c r="B259" t="s">
        <v>6</v>
      </c>
      <c r="C259" t="s">
        <v>7</v>
      </c>
      <c r="D259" t="s">
        <v>8</v>
      </c>
      <c r="E259" t="s">
        <v>16</v>
      </c>
    </row>
    <row r="260" spans="1:5" x14ac:dyDescent="0.25">
      <c r="A260" t="s">
        <v>277</v>
      </c>
      <c r="B260" t="s">
        <v>6</v>
      </c>
      <c r="C260" t="s">
        <v>7</v>
      </c>
      <c r="D260" t="s">
        <v>8</v>
      </c>
      <c r="E260" t="s">
        <v>16</v>
      </c>
    </row>
    <row r="261" spans="1:5" x14ac:dyDescent="0.25">
      <c r="A261" t="s">
        <v>278</v>
      </c>
      <c r="B261" t="s">
        <v>6</v>
      </c>
      <c r="C261" t="s">
        <v>7</v>
      </c>
      <c r="D261" t="s">
        <v>11</v>
      </c>
      <c r="E261" t="s">
        <v>16</v>
      </c>
    </row>
    <row r="262" spans="1:5" x14ac:dyDescent="0.25">
      <c r="A262" t="s">
        <v>279</v>
      </c>
      <c r="B262" t="s">
        <v>6</v>
      </c>
      <c r="C262" t="s">
        <v>7</v>
      </c>
      <c r="D262" t="s">
        <v>8</v>
      </c>
      <c r="E262" t="s">
        <v>19</v>
      </c>
    </row>
    <row r="263" spans="1:5" x14ac:dyDescent="0.25">
      <c r="A263" t="s">
        <v>280</v>
      </c>
      <c r="B263" t="s">
        <v>6</v>
      </c>
      <c r="C263" t="s">
        <v>7</v>
      </c>
      <c r="D263" t="s">
        <v>11</v>
      </c>
      <c r="E263" t="s">
        <v>16</v>
      </c>
    </row>
    <row r="264" spans="1:5" x14ac:dyDescent="0.25">
      <c r="A264" t="s">
        <v>281</v>
      </c>
      <c r="B264" t="s">
        <v>6</v>
      </c>
      <c r="C264" t="s">
        <v>14</v>
      </c>
      <c r="D264" t="s">
        <v>11</v>
      </c>
      <c r="E264" t="s">
        <v>24</v>
      </c>
    </row>
    <row r="265" spans="1:5" x14ac:dyDescent="0.25">
      <c r="A265" t="s">
        <v>282</v>
      </c>
      <c r="B265" t="s">
        <v>6</v>
      </c>
      <c r="C265" t="s">
        <v>7</v>
      </c>
      <c r="D265" t="s">
        <v>8</v>
      </c>
      <c r="E265" t="s">
        <v>16</v>
      </c>
    </row>
    <row r="266" spans="1:5" x14ac:dyDescent="0.25">
      <c r="A266" t="s">
        <v>283</v>
      </c>
      <c r="B266" t="s">
        <v>6</v>
      </c>
      <c r="C266" t="s">
        <v>7</v>
      </c>
      <c r="D266" t="s">
        <v>11</v>
      </c>
      <c r="E266" t="s">
        <v>24</v>
      </c>
    </row>
    <row r="267" spans="1:5" x14ac:dyDescent="0.25">
      <c r="A267" t="s">
        <v>284</v>
      </c>
      <c r="B267" t="s">
        <v>6</v>
      </c>
      <c r="C267" t="s">
        <v>7</v>
      </c>
      <c r="D267" t="s">
        <v>11</v>
      </c>
      <c r="E267" t="s">
        <v>9</v>
      </c>
    </row>
    <row r="268" spans="1:5" x14ac:dyDescent="0.25">
      <c r="A268" t="s">
        <v>285</v>
      </c>
      <c r="B268" t="s">
        <v>6</v>
      </c>
      <c r="C268" t="s">
        <v>14</v>
      </c>
      <c r="D268" t="s">
        <v>11</v>
      </c>
      <c r="E268" t="s">
        <v>24</v>
      </c>
    </row>
    <row r="269" spans="1:5" x14ac:dyDescent="0.25">
      <c r="A269" t="s">
        <v>286</v>
      </c>
      <c r="B269" t="s">
        <v>6</v>
      </c>
      <c r="C269" t="s">
        <v>14</v>
      </c>
      <c r="D269" t="s">
        <v>11</v>
      </c>
      <c r="E269" t="s">
        <v>24</v>
      </c>
    </row>
    <row r="270" spans="1:5" x14ac:dyDescent="0.25">
      <c r="A270" t="s">
        <v>287</v>
      </c>
      <c r="B270" t="s">
        <v>6</v>
      </c>
      <c r="C270" t="s">
        <v>14</v>
      </c>
      <c r="D270" t="s">
        <v>11</v>
      </c>
      <c r="E270" t="s">
        <v>9</v>
      </c>
    </row>
    <row r="271" spans="1:5" x14ac:dyDescent="0.25">
      <c r="A271" t="s">
        <v>288</v>
      </c>
      <c r="B271" t="s">
        <v>6</v>
      </c>
      <c r="C271" t="s">
        <v>14</v>
      </c>
      <c r="D271" t="s">
        <v>11</v>
      </c>
      <c r="E271" t="s">
        <v>9</v>
      </c>
    </row>
    <row r="272" spans="1:5" x14ac:dyDescent="0.25">
      <c r="A272" t="s">
        <v>289</v>
      </c>
      <c r="B272" t="s">
        <v>6</v>
      </c>
      <c r="C272" t="s">
        <v>7</v>
      </c>
      <c r="D272" t="s">
        <v>8</v>
      </c>
      <c r="E272" t="s">
        <v>29</v>
      </c>
    </row>
    <row r="273" spans="1:5" x14ac:dyDescent="0.25">
      <c r="A273" t="s">
        <v>290</v>
      </c>
      <c r="B273" t="s">
        <v>6</v>
      </c>
      <c r="C273" t="s">
        <v>7</v>
      </c>
      <c r="D273" t="s">
        <v>11</v>
      </c>
      <c r="E273" t="s">
        <v>9</v>
      </c>
    </row>
    <row r="274" spans="1:5" x14ac:dyDescent="0.25">
      <c r="A274" t="s">
        <v>291</v>
      </c>
      <c r="B274" t="s">
        <v>6</v>
      </c>
      <c r="C274" t="s">
        <v>7</v>
      </c>
      <c r="D274" t="s">
        <v>8</v>
      </c>
      <c r="E274" t="s">
        <v>9</v>
      </c>
    </row>
    <row r="275" spans="1:5" x14ac:dyDescent="0.25">
      <c r="A275" t="s">
        <v>292</v>
      </c>
      <c r="B275" t="s">
        <v>6</v>
      </c>
      <c r="C275" t="s">
        <v>7</v>
      </c>
      <c r="D275" t="s">
        <v>11</v>
      </c>
      <c r="E275" t="s">
        <v>12</v>
      </c>
    </row>
    <row r="276" spans="1:5" x14ac:dyDescent="0.25">
      <c r="A276" t="s">
        <v>293</v>
      </c>
      <c r="B276" t="s">
        <v>6</v>
      </c>
      <c r="C276" t="s">
        <v>7</v>
      </c>
      <c r="D276" t="s">
        <v>11</v>
      </c>
      <c r="E276" t="s">
        <v>19</v>
      </c>
    </row>
    <row r="277" spans="1:5" x14ac:dyDescent="0.25">
      <c r="A277" t="s">
        <v>294</v>
      </c>
      <c r="B277" t="s">
        <v>6</v>
      </c>
      <c r="C277" t="s">
        <v>7</v>
      </c>
      <c r="D277" t="s">
        <v>8</v>
      </c>
      <c r="E277" t="s">
        <v>19</v>
      </c>
    </row>
    <row r="278" spans="1:5" x14ac:dyDescent="0.25">
      <c r="A278" t="s">
        <v>295</v>
      </c>
      <c r="B278" t="s">
        <v>6</v>
      </c>
      <c r="C278" t="s">
        <v>14</v>
      </c>
      <c r="D278" t="s">
        <v>11</v>
      </c>
      <c r="E278" t="s">
        <v>24</v>
      </c>
    </row>
    <row r="279" spans="1:5" x14ac:dyDescent="0.25">
      <c r="A279" t="s">
        <v>296</v>
      </c>
      <c r="B279" t="s">
        <v>6</v>
      </c>
      <c r="C279" t="s">
        <v>7</v>
      </c>
      <c r="D279" t="s">
        <v>8</v>
      </c>
      <c r="E279" t="s">
        <v>9</v>
      </c>
    </row>
    <row r="280" spans="1:5" x14ac:dyDescent="0.25">
      <c r="A280" t="s">
        <v>297</v>
      </c>
      <c r="B280" t="s">
        <v>6</v>
      </c>
      <c r="C280" t="s">
        <v>7</v>
      </c>
      <c r="D280" t="s">
        <v>11</v>
      </c>
      <c r="E280" t="s">
        <v>16</v>
      </c>
    </row>
    <row r="281" spans="1:5" x14ac:dyDescent="0.25">
      <c r="A281" t="s">
        <v>298</v>
      </c>
      <c r="B281" t="s">
        <v>6</v>
      </c>
      <c r="C281" t="s">
        <v>14</v>
      </c>
      <c r="D281" t="s">
        <v>11</v>
      </c>
      <c r="E281" t="s">
        <v>21</v>
      </c>
    </row>
    <row r="282" spans="1:5" x14ac:dyDescent="0.25">
      <c r="A282" t="s">
        <v>299</v>
      </c>
      <c r="B282" t="s">
        <v>6</v>
      </c>
      <c r="C282" t="s">
        <v>7</v>
      </c>
      <c r="D282" t="s">
        <v>11</v>
      </c>
      <c r="E282" t="s">
        <v>24</v>
      </c>
    </row>
    <row r="283" spans="1:5" x14ac:dyDescent="0.25">
      <c r="A283" t="s">
        <v>300</v>
      </c>
      <c r="B283" t="s">
        <v>6</v>
      </c>
      <c r="C283" t="s">
        <v>7</v>
      </c>
      <c r="D283" t="s">
        <v>8</v>
      </c>
      <c r="E283" t="s">
        <v>19</v>
      </c>
    </row>
    <row r="284" spans="1:5" x14ac:dyDescent="0.25">
      <c r="A284" t="s">
        <v>301</v>
      </c>
      <c r="B284" t="s">
        <v>6</v>
      </c>
      <c r="C284" t="s">
        <v>7</v>
      </c>
      <c r="D284" t="s">
        <v>8</v>
      </c>
      <c r="E284" t="s">
        <v>24</v>
      </c>
    </row>
    <row r="285" spans="1:5" x14ac:dyDescent="0.25">
      <c r="A285" t="s">
        <v>302</v>
      </c>
      <c r="B285" t="s">
        <v>6</v>
      </c>
      <c r="C285" t="s">
        <v>14</v>
      </c>
      <c r="D285" t="s">
        <v>11</v>
      </c>
      <c r="E285" t="s">
        <v>9</v>
      </c>
    </row>
    <row r="286" spans="1:5" x14ac:dyDescent="0.25">
      <c r="A286" t="s">
        <v>303</v>
      </c>
      <c r="B286" t="s">
        <v>6</v>
      </c>
      <c r="C286" t="s">
        <v>7</v>
      </c>
      <c r="D286" t="s">
        <v>8</v>
      </c>
      <c r="E286" t="s">
        <v>21</v>
      </c>
    </row>
    <row r="287" spans="1:5" x14ac:dyDescent="0.25">
      <c r="A287" t="s">
        <v>304</v>
      </c>
      <c r="B287" t="s">
        <v>6</v>
      </c>
      <c r="C287" t="s">
        <v>14</v>
      </c>
      <c r="D287" t="s">
        <v>11</v>
      </c>
      <c r="E287" t="s">
        <v>21</v>
      </c>
    </row>
    <row r="288" spans="1:5" x14ac:dyDescent="0.25">
      <c r="A288" t="s">
        <v>305</v>
      </c>
      <c r="B288" t="s">
        <v>6</v>
      </c>
      <c r="C288" t="s">
        <v>14</v>
      </c>
      <c r="D288" t="s">
        <v>8</v>
      </c>
      <c r="E288" t="s">
        <v>21</v>
      </c>
    </row>
    <row r="289" spans="1:5" x14ac:dyDescent="0.25">
      <c r="A289" t="s">
        <v>306</v>
      </c>
      <c r="B289" t="s">
        <v>6</v>
      </c>
      <c r="C289" t="s">
        <v>14</v>
      </c>
      <c r="D289" t="s">
        <v>11</v>
      </c>
      <c r="E289" t="s">
        <v>21</v>
      </c>
    </row>
    <row r="290" spans="1:5" x14ac:dyDescent="0.25">
      <c r="A290" t="s">
        <v>307</v>
      </c>
      <c r="B290" t="s">
        <v>6</v>
      </c>
      <c r="C290" t="s">
        <v>7</v>
      </c>
      <c r="D290" t="s">
        <v>8</v>
      </c>
      <c r="E290" t="s">
        <v>19</v>
      </c>
    </row>
    <row r="291" spans="1:5" x14ac:dyDescent="0.25">
      <c r="A291" t="s">
        <v>308</v>
      </c>
      <c r="B291" t="s">
        <v>6</v>
      </c>
      <c r="C291" t="s">
        <v>7</v>
      </c>
      <c r="D291" t="s">
        <v>8</v>
      </c>
      <c r="E291" t="s">
        <v>29</v>
      </c>
    </row>
    <row r="292" spans="1:5" x14ac:dyDescent="0.25">
      <c r="A292" t="s">
        <v>309</v>
      </c>
      <c r="B292" t="s">
        <v>6</v>
      </c>
      <c r="C292" t="s">
        <v>14</v>
      </c>
      <c r="D292" t="s">
        <v>11</v>
      </c>
      <c r="E292" t="s">
        <v>24</v>
      </c>
    </row>
    <row r="293" spans="1:5" x14ac:dyDescent="0.25">
      <c r="A293" t="s">
        <v>310</v>
      </c>
      <c r="B293" t="s">
        <v>6</v>
      </c>
      <c r="C293" t="s">
        <v>7</v>
      </c>
      <c r="D293" t="s">
        <v>8</v>
      </c>
      <c r="E293" t="s">
        <v>16</v>
      </c>
    </row>
    <row r="294" spans="1:5" x14ac:dyDescent="0.25">
      <c r="A294" t="s">
        <v>311</v>
      </c>
      <c r="B294" t="s">
        <v>6</v>
      </c>
      <c r="C294" t="s">
        <v>7</v>
      </c>
      <c r="D294" t="s">
        <v>11</v>
      </c>
      <c r="E294" t="s">
        <v>19</v>
      </c>
    </row>
    <row r="295" spans="1:5" x14ac:dyDescent="0.25">
      <c r="A295" t="s">
        <v>312</v>
      </c>
      <c r="B295" t="s">
        <v>6</v>
      </c>
      <c r="C295" t="s">
        <v>7</v>
      </c>
      <c r="D295" t="s">
        <v>8</v>
      </c>
      <c r="E295" t="s">
        <v>9</v>
      </c>
    </row>
    <row r="296" spans="1:5" x14ac:dyDescent="0.25">
      <c r="A296" t="s">
        <v>313</v>
      </c>
      <c r="B296" t="s">
        <v>6</v>
      </c>
      <c r="C296" t="s">
        <v>14</v>
      </c>
      <c r="D296" t="s">
        <v>11</v>
      </c>
      <c r="E296" t="s">
        <v>19</v>
      </c>
    </row>
    <row r="297" spans="1:5" x14ac:dyDescent="0.25">
      <c r="A297" t="s">
        <v>314</v>
      </c>
      <c r="B297" t="s">
        <v>6</v>
      </c>
      <c r="C297" t="s">
        <v>7</v>
      </c>
      <c r="D297" t="s">
        <v>11</v>
      </c>
      <c r="E297" t="s">
        <v>29</v>
      </c>
    </row>
    <row r="298" spans="1:5" x14ac:dyDescent="0.25">
      <c r="A298" t="s">
        <v>315</v>
      </c>
      <c r="B298" t="s">
        <v>6</v>
      </c>
      <c r="C298" t="s">
        <v>7</v>
      </c>
      <c r="D298" t="s">
        <v>8</v>
      </c>
      <c r="E298" t="s">
        <v>16</v>
      </c>
    </row>
    <row r="299" spans="1:5" x14ac:dyDescent="0.25">
      <c r="A299" t="s">
        <v>316</v>
      </c>
      <c r="B299" t="s">
        <v>6</v>
      </c>
      <c r="C299" t="s">
        <v>7</v>
      </c>
      <c r="D299" t="s">
        <v>8</v>
      </c>
      <c r="E299" t="s">
        <v>9</v>
      </c>
    </row>
    <row r="300" spans="1:5" x14ac:dyDescent="0.25">
      <c r="A300" t="s">
        <v>317</v>
      </c>
      <c r="B300" t="s">
        <v>6</v>
      </c>
      <c r="C300" t="s">
        <v>7</v>
      </c>
      <c r="D300" t="s">
        <v>11</v>
      </c>
      <c r="E300" t="s">
        <v>16</v>
      </c>
    </row>
    <row r="301" spans="1:5" x14ac:dyDescent="0.25">
      <c r="A301" t="s">
        <v>318</v>
      </c>
      <c r="B301" t="s">
        <v>6</v>
      </c>
      <c r="C301" t="s">
        <v>14</v>
      </c>
      <c r="D301" t="s">
        <v>11</v>
      </c>
      <c r="E301" t="s">
        <v>19</v>
      </c>
    </row>
    <row r="302" spans="1:5" x14ac:dyDescent="0.25">
      <c r="A302" t="s">
        <v>319</v>
      </c>
      <c r="B302" t="s">
        <v>6</v>
      </c>
      <c r="C302" t="s">
        <v>14</v>
      </c>
      <c r="D302" t="s">
        <v>11</v>
      </c>
      <c r="E302" t="s">
        <v>21</v>
      </c>
    </row>
    <row r="303" spans="1:5" x14ac:dyDescent="0.25">
      <c r="A303" t="s">
        <v>320</v>
      </c>
      <c r="B303" t="s">
        <v>6</v>
      </c>
      <c r="C303" t="s">
        <v>14</v>
      </c>
      <c r="D303" t="s">
        <v>11</v>
      </c>
      <c r="E303" t="s">
        <v>19</v>
      </c>
    </row>
    <row r="304" spans="1:5" x14ac:dyDescent="0.25">
      <c r="A304" t="s">
        <v>321</v>
      </c>
      <c r="B304" t="s">
        <v>6</v>
      </c>
      <c r="C304" t="s">
        <v>7</v>
      </c>
      <c r="D304" t="s">
        <v>8</v>
      </c>
      <c r="E304" t="s">
        <v>16</v>
      </c>
    </row>
    <row r="305" spans="1:5" x14ac:dyDescent="0.25">
      <c r="A305" t="s">
        <v>322</v>
      </c>
      <c r="B305" t="s">
        <v>6</v>
      </c>
      <c r="C305" t="s">
        <v>14</v>
      </c>
      <c r="D305" t="s">
        <v>11</v>
      </c>
      <c r="E305" t="s">
        <v>21</v>
      </c>
    </row>
    <row r="306" spans="1:5" x14ac:dyDescent="0.25">
      <c r="A306" t="s">
        <v>323</v>
      </c>
      <c r="B306" t="s">
        <v>6</v>
      </c>
      <c r="C306" t="s">
        <v>7</v>
      </c>
      <c r="D306" t="s">
        <v>8</v>
      </c>
      <c r="E306" t="s">
        <v>21</v>
      </c>
    </row>
    <row r="307" spans="1:5" x14ac:dyDescent="0.25">
      <c r="A307" t="s">
        <v>324</v>
      </c>
      <c r="B307" t="s">
        <v>6</v>
      </c>
      <c r="C307" t="s">
        <v>14</v>
      </c>
      <c r="D307" t="s">
        <v>11</v>
      </c>
      <c r="E307" t="s">
        <v>21</v>
      </c>
    </row>
    <row r="308" spans="1:5" x14ac:dyDescent="0.25">
      <c r="A308" t="s">
        <v>325</v>
      </c>
      <c r="B308" t="s">
        <v>6</v>
      </c>
      <c r="C308" t="s">
        <v>14</v>
      </c>
      <c r="D308" t="s">
        <v>11</v>
      </c>
      <c r="E308" t="s">
        <v>24</v>
      </c>
    </row>
    <row r="309" spans="1:5" x14ac:dyDescent="0.25">
      <c r="A309" t="s">
        <v>326</v>
      </c>
      <c r="B309" t="s">
        <v>6</v>
      </c>
      <c r="C309" t="s">
        <v>14</v>
      </c>
      <c r="D309" t="s">
        <v>11</v>
      </c>
      <c r="E309" t="s">
        <v>9</v>
      </c>
    </row>
    <row r="310" spans="1:5" x14ac:dyDescent="0.25">
      <c r="A310" t="s">
        <v>327</v>
      </c>
      <c r="B310" t="s">
        <v>6</v>
      </c>
      <c r="C310" t="s">
        <v>7</v>
      </c>
      <c r="D310" t="s">
        <v>8</v>
      </c>
      <c r="E310" t="s">
        <v>24</v>
      </c>
    </row>
    <row r="311" spans="1:5" x14ac:dyDescent="0.25">
      <c r="A311" t="s">
        <v>328</v>
      </c>
      <c r="B311" t="s">
        <v>6</v>
      </c>
      <c r="C311" t="s">
        <v>7</v>
      </c>
      <c r="D311" t="s">
        <v>8</v>
      </c>
      <c r="E311" t="s">
        <v>16</v>
      </c>
    </row>
    <row r="312" spans="1:5" x14ac:dyDescent="0.25">
      <c r="A312" t="s">
        <v>329</v>
      </c>
      <c r="B312" t="s">
        <v>6</v>
      </c>
      <c r="C312" t="s">
        <v>14</v>
      </c>
      <c r="D312" t="s">
        <v>11</v>
      </c>
      <c r="E312" t="s">
        <v>24</v>
      </c>
    </row>
    <row r="313" spans="1:5" x14ac:dyDescent="0.25">
      <c r="A313" t="s">
        <v>330</v>
      </c>
      <c r="B313" t="s">
        <v>6</v>
      </c>
      <c r="C313" t="s">
        <v>7</v>
      </c>
      <c r="D313" t="s">
        <v>8</v>
      </c>
      <c r="E313" t="s">
        <v>19</v>
      </c>
    </row>
    <row r="314" spans="1:5" x14ac:dyDescent="0.25">
      <c r="A314" t="s">
        <v>331</v>
      </c>
      <c r="B314" t="s">
        <v>6</v>
      </c>
      <c r="C314" t="s">
        <v>14</v>
      </c>
      <c r="D314" t="s">
        <v>11</v>
      </c>
      <c r="E314" t="s">
        <v>24</v>
      </c>
    </row>
    <row r="315" spans="1:5" x14ac:dyDescent="0.25">
      <c r="A315" t="s">
        <v>332</v>
      </c>
      <c r="B315" t="s">
        <v>6</v>
      </c>
      <c r="C315" t="s">
        <v>14</v>
      </c>
      <c r="D315" t="s">
        <v>11</v>
      </c>
      <c r="E315" t="s">
        <v>9</v>
      </c>
    </row>
    <row r="316" spans="1:5" x14ac:dyDescent="0.25">
      <c r="A316" t="s">
        <v>333</v>
      </c>
      <c r="B316" t="s">
        <v>6</v>
      </c>
      <c r="C316" t="s">
        <v>7</v>
      </c>
      <c r="D316" t="s">
        <v>8</v>
      </c>
      <c r="E316" t="s">
        <v>24</v>
      </c>
    </row>
    <row r="317" spans="1:5" x14ac:dyDescent="0.25">
      <c r="A317" t="s">
        <v>334</v>
      </c>
      <c r="B317" t="s">
        <v>6</v>
      </c>
      <c r="C317" t="s">
        <v>7</v>
      </c>
      <c r="D317" t="s">
        <v>8</v>
      </c>
      <c r="E317" t="s">
        <v>9</v>
      </c>
    </row>
    <row r="318" spans="1:5" x14ac:dyDescent="0.25">
      <c r="A318" t="s">
        <v>335</v>
      </c>
      <c r="B318" t="s">
        <v>6</v>
      </c>
      <c r="C318" t="s">
        <v>14</v>
      </c>
      <c r="D318" t="s">
        <v>11</v>
      </c>
      <c r="E318" t="s">
        <v>24</v>
      </c>
    </row>
    <row r="319" spans="1:5" x14ac:dyDescent="0.25">
      <c r="A319" t="s">
        <v>336</v>
      </c>
      <c r="B319" t="s">
        <v>6</v>
      </c>
      <c r="C319" t="s">
        <v>7</v>
      </c>
      <c r="D319" t="s">
        <v>11</v>
      </c>
      <c r="E319" t="s">
        <v>9</v>
      </c>
    </row>
    <row r="320" spans="1:5" x14ac:dyDescent="0.25">
      <c r="A320" t="s">
        <v>337</v>
      </c>
      <c r="B320" t="s">
        <v>6</v>
      </c>
      <c r="C320" t="s">
        <v>14</v>
      </c>
      <c r="D320" t="s">
        <v>11</v>
      </c>
      <c r="E320" t="s">
        <v>9</v>
      </c>
    </row>
    <row r="321" spans="1:5" x14ac:dyDescent="0.25">
      <c r="A321" t="s">
        <v>338</v>
      </c>
      <c r="B321" t="s">
        <v>6</v>
      </c>
      <c r="C321" t="s">
        <v>7</v>
      </c>
      <c r="D321" t="s">
        <v>8</v>
      </c>
      <c r="E321" t="s">
        <v>16</v>
      </c>
    </row>
    <row r="322" spans="1:5" x14ac:dyDescent="0.25">
      <c r="A322" t="s">
        <v>339</v>
      </c>
      <c r="B322" t="s">
        <v>6</v>
      </c>
      <c r="C322" t="s">
        <v>7</v>
      </c>
      <c r="D322" t="s">
        <v>11</v>
      </c>
      <c r="E322" t="s">
        <v>9</v>
      </c>
    </row>
    <row r="323" spans="1:5" x14ac:dyDescent="0.25">
      <c r="A323" t="s">
        <v>340</v>
      </c>
      <c r="B323" t="s">
        <v>6</v>
      </c>
      <c r="C323" t="s">
        <v>14</v>
      </c>
      <c r="D323" t="s">
        <v>11</v>
      </c>
      <c r="E323" t="s">
        <v>21</v>
      </c>
    </row>
    <row r="324" spans="1:5" x14ac:dyDescent="0.25">
      <c r="A324" t="s">
        <v>341</v>
      </c>
      <c r="B324" t="s">
        <v>6</v>
      </c>
      <c r="C324" t="s">
        <v>7</v>
      </c>
      <c r="D324" t="s">
        <v>8</v>
      </c>
      <c r="E324" t="s">
        <v>16</v>
      </c>
    </row>
    <row r="325" spans="1:5" x14ac:dyDescent="0.25">
      <c r="A325" t="s">
        <v>342</v>
      </c>
      <c r="B325" t="s">
        <v>343</v>
      </c>
      <c r="C325" t="s">
        <v>14</v>
      </c>
      <c r="D325" t="s">
        <v>11</v>
      </c>
      <c r="E325" t="s">
        <v>16</v>
      </c>
    </row>
    <row r="326" spans="1:5" x14ac:dyDescent="0.25">
      <c r="A326" t="s">
        <v>344</v>
      </c>
      <c r="B326" t="s">
        <v>343</v>
      </c>
      <c r="C326" t="s">
        <v>7</v>
      </c>
      <c r="D326" t="s">
        <v>8</v>
      </c>
      <c r="E326" t="s">
        <v>9</v>
      </c>
    </row>
    <row r="327" spans="1:5" x14ac:dyDescent="0.25">
      <c r="A327" t="s">
        <v>345</v>
      </c>
      <c r="B327" t="s">
        <v>343</v>
      </c>
      <c r="C327" t="s">
        <v>14</v>
      </c>
      <c r="D327" t="s">
        <v>11</v>
      </c>
      <c r="E327" t="s">
        <v>16</v>
      </c>
    </row>
    <row r="328" spans="1:5" x14ac:dyDescent="0.25">
      <c r="A328" t="s">
        <v>346</v>
      </c>
      <c r="B328" t="s">
        <v>343</v>
      </c>
      <c r="C328" t="s">
        <v>14</v>
      </c>
      <c r="D328" t="s">
        <v>11</v>
      </c>
      <c r="E328" t="s">
        <v>29</v>
      </c>
    </row>
    <row r="329" spans="1:5" x14ac:dyDescent="0.25">
      <c r="A329" t="s">
        <v>347</v>
      </c>
      <c r="B329" t="s">
        <v>343</v>
      </c>
      <c r="C329" t="s">
        <v>14</v>
      </c>
      <c r="D329" t="s">
        <v>11</v>
      </c>
      <c r="E329" t="s">
        <v>9</v>
      </c>
    </row>
    <row r="330" spans="1:5" x14ac:dyDescent="0.25">
      <c r="A330" t="s">
        <v>348</v>
      </c>
      <c r="B330" t="s">
        <v>343</v>
      </c>
      <c r="C330" t="s">
        <v>14</v>
      </c>
      <c r="D330" t="s">
        <v>11</v>
      </c>
      <c r="E330" t="s">
        <v>16</v>
      </c>
    </row>
    <row r="331" spans="1:5" x14ac:dyDescent="0.25">
      <c r="A331" t="s">
        <v>349</v>
      </c>
      <c r="B331" t="s">
        <v>343</v>
      </c>
      <c r="C331" t="s">
        <v>7</v>
      </c>
      <c r="D331" t="s">
        <v>8</v>
      </c>
      <c r="E331" t="s">
        <v>16</v>
      </c>
    </row>
    <row r="332" spans="1:5" x14ac:dyDescent="0.25">
      <c r="A332" t="s">
        <v>350</v>
      </c>
      <c r="B332" t="s">
        <v>343</v>
      </c>
      <c r="C332" t="s">
        <v>14</v>
      </c>
      <c r="D332" t="s">
        <v>11</v>
      </c>
      <c r="E332" t="s">
        <v>24</v>
      </c>
    </row>
    <row r="333" spans="1:5" x14ac:dyDescent="0.25">
      <c r="A333" t="s">
        <v>351</v>
      </c>
      <c r="B333" t="s">
        <v>343</v>
      </c>
      <c r="C333" t="s">
        <v>14</v>
      </c>
      <c r="D333" t="s">
        <v>11</v>
      </c>
      <c r="E333" t="s">
        <v>29</v>
      </c>
    </row>
    <row r="334" spans="1:5" x14ac:dyDescent="0.25">
      <c r="A334" t="s">
        <v>352</v>
      </c>
      <c r="B334" t="s">
        <v>343</v>
      </c>
      <c r="C334" t="s">
        <v>14</v>
      </c>
      <c r="D334" t="s">
        <v>11</v>
      </c>
      <c r="E334" t="s">
        <v>9</v>
      </c>
    </row>
    <row r="335" spans="1:5" x14ac:dyDescent="0.25">
      <c r="A335" t="s">
        <v>353</v>
      </c>
      <c r="B335" t="s">
        <v>343</v>
      </c>
      <c r="C335" t="s">
        <v>7</v>
      </c>
      <c r="D335" t="s">
        <v>8</v>
      </c>
      <c r="E335" t="s">
        <v>16</v>
      </c>
    </row>
    <row r="336" spans="1:5" x14ac:dyDescent="0.25">
      <c r="A336" t="s">
        <v>354</v>
      </c>
      <c r="B336" t="s">
        <v>343</v>
      </c>
      <c r="C336" t="s">
        <v>14</v>
      </c>
      <c r="D336" t="s">
        <v>11</v>
      </c>
      <c r="E336" t="s">
        <v>9</v>
      </c>
    </row>
    <row r="337" spans="1:5" x14ac:dyDescent="0.25">
      <c r="A337" t="s">
        <v>355</v>
      </c>
      <c r="B337" t="s">
        <v>343</v>
      </c>
      <c r="C337" t="s">
        <v>14</v>
      </c>
      <c r="D337" t="s">
        <v>11</v>
      </c>
      <c r="E337" t="s">
        <v>24</v>
      </c>
    </row>
    <row r="338" spans="1:5" x14ac:dyDescent="0.25">
      <c r="A338" t="s">
        <v>356</v>
      </c>
      <c r="B338" t="s">
        <v>343</v>
      </c>
      <c r="C338" t="s">
        <v>7</v>
      </c>
      <c r="D338" t="s">
        <v>11</v>
      </c>
      <c r="E338" t="s">
        <v>16</v>
      </c>
    </row>
    <row r="339" spans="1:5" x14ac:dyDescent="0.25">
      <c r="A339" t="s">
        <v>357</v>
      </c>
      <c r="B339" t="s">
        <v>343</v>
      </c>
      <c r="C339" t="s">
        <v>7</v>
      </c>
      <c r="D339" t="s">
        <v>8</v>
      </c>
      <c r="E339" t="s">
        <v>29</v>
      </c>
    </row>
    <row r="340" spans="1:5" x14ac:dyDescent="0.25">
      <c r="A340" t="s">
        <v>358</v>
      </c>
      <c r="B340" t="s">
        <v>343</v>
      </c>
      <c r="C340" t="s">
        <v>14</v>
      </c>
      <c r="D340" t="s">
        <v>11</v>
      </c>
      <c r="E340" t="s">
        <v>9</v>
      </c>
    </row>
    <row r="341" spans="1:5" x14ac:dyDescent="0.25">
      <c r="A341" t="s">
        <v>359</v>
      </c>
      <c r="B341" t="s">
        <v>343</v>
      </c>
      <c r="C341" t="s">
        <v>7</v>
      </c>
      <c r="D341" t="s">
        <v>11</v>
      </c>
      <c r="E341" t="s">
        <v>12</v>
      </c>
    </row>
    <row r="342" spans="1:5" x14ac:dyDescent="0.25">
      <c r="A342" t="s">
        <v>360</v>
      </c>
      <c r="B342" t="s">
        <v>343</v>
      </c>
      <c r="C342" t="s">
        <v>7</v>
      </c>
      <c r="D342" t="s">
        <v>8</v>
      </c>
      <c r="E342" t="s">
        <v>12</v>
      </c>
    </row>
    <row r="343" spans="1:5" x14ac:dyDescent="0.25">
      <c r="A343" t="s">
        <v>361</v>
      </c>
      <c r="B343" t="s">
        <v>343</v>
      </c>
      <c r="C343" t="s">
        <v>7</v>
      </c>
      <c r="D343" t="s">
        <v>8</v>
      </c>
      <c r="E343" t="s">
        <v>29</v>
      </c>
    </row>
    <row r="344" spans="1:5" x14ac:dyDescent="0.25">
      <c r="A344" t="s">
        <v>362</v>
      </c>
      <c r="B344" t="s">
        <v>343</v>
      </c>
      <c r="C344" t="s">
        <v>7</v>
      </c>
      <c r="D344" t="s">
        <v>8</v>
      </c>
      <c r="E344" t="s">
        <v>16</v>
      </c>
    </row>
    <row r="345" spans="1:5" x14ac:dyDescent="0.25">
      <c r="A345" t="s">
        <v>363</v>
      </c>
      <c r="B345" t="s">
        <v>343</v>
      </c>
      <c r="C345" t="s">
        <v>7</v>
      </c>
      <c r="D345" t="s">
        <v>11</v>
      </c>
      <c r="E345" t="s">
        <v>16</v>
      </c>
    </row>
    <row r="346" spans="1:5" x14ac:dyDescent="0.25">
      <c r="A346" t="s">
        <v>364</v>
      </c>
      <c r="B346" t="s">
        <v>343</v>
      </c>
      <c r="C346" t="s">
        <v>7</v>
      </c>
      <c r="D346" t="s">
        <v>8</v>
      </c>
      <c r="E346" t="s">
        <v>29</v>
      </c>
    </row>
    <row r="347" spans="1:5" x14ac:dyDescent="0.25">
      <c r="A347" t="s">
        <v>365</v>
      </c>
      <c r="B347" t="s">
        <v>343</v>
      </c>
      <c r="C347" t="s">
        <v>14</v>
      </c>
      <c r="D347" t="s">
        <v>11</v>
      </c>
      <c r="E347" t="s">
        <v>9</v>
      </c>
    </row>
    <row r="348" spans="1:5" x14ac:dyDescent="0.25">
      <c r="A348" t="s">
        <v>366</v>
      </c>
      <c r="B348" t="s">
        <v>343</v>
      </c>
      <c r="C348" t="s">
        <v>14</v>
      </c>
      <c r="D348" t="s">
        <v>11</v>
      </c>
      <c r="E348" t="s">
        <v>9</v>
      </c>
    </row>
    <row r="349" spans="1:5" x14ac:dyDescent="0.25">
      <c r="A349" t="s">
        <v>367</v>
      </c>
      <c r="B349" t="s">
        <v>343</v>
      </c>
      <c r="C349" t="s">
        <v>14</v>
      </c>
      <c r="D349" t="s">
        <v>11</v>
      </c>
      <c r="E349" t="s">
        <v>19</v>
      </c>
    </row>
    <row r="350" spans="1:5" x14ac:dyDescent="0.25">
      <c r="A350" t="s">
        <v>368</v>
      </c>
      <c r="B350" t="s">
        <v>343</v>
      </c>
      <c r="C350" t="s">
        <v>14</v>
      </c>
      <c r="D350" t="s">
        <v>11</v>
      </c>
      <c r="E350" t="s">
        <v>9</v>
      </c>
    </row>
    <row r="351" spans="1:5" x14ac:dyDescent="0.25">
      <c r="A351" t="s">
        <v>369</v>
      </c>
      <c r="B351" t="s">
        <v>343</v>
      </c>
      <c r="C351" t="s">
        <v>7</v>
      </c>
      <c r="D351" t="s">
        <v>8</v>
      </c>
      <c r="E351" t="s">
        <v>9</v>
      </c>
    </row>
    <row r="352" spans="1:5" x14ac:dyDescent="0.25">
      <c r="A352" t="s">
        <v>370</v>
      </c>
      <c r="B352" t="s">
        <v>343</v>
      </c>
      <c r="C352" t="s">
        <v>7</v>
      </c>
      <c r="D352" t="s">
        <v>8</v>
      </c>
      <c r="E352" t="s">
        <v>29</v>
      </c>
    </row>
    <row r="353" spans="1:5" x14ac:dyDescent="0.25">
      <c r="A353" t="s">
        <v>371</v>
      </c>
      <c r="B353" t="s">
        <v>343</v>
      </c>
      <c r="C353" t="s">
        <v>14</v>
      </c>
      <c r="D353" t="s">
        <v>11</v>
      </c>
      <c r="E353" t="s">
        <v>21</v>
      </c>
    </row>
    <row r="354" spans="1:5" x14ac:dyDescent="0.25">
      <c r="A354" t="s">
        <v>372</v>
      </c>
      <c r="B354" t="s">
        <v>343</v>
      </c>
      <c r="C354" t="s">
        <v>7</v>
      </c>
      <c r="D354" t="s">
        <v>8</v>
      </c>
      <c r="E354" t="s">
        <v>19</v>
      </c>
    </row>
    <row r="355" spans="1:5" x14ac:dyDescent="0.25">
      <c r="A355" t="s">
        <v>373</v>
      </c>
      <c r="B355" t="s">
        <v>343</v>
      </c>
      <c r="C355" t="s">
        <v>7</v>
      </c>
      <c r="D355" t="s">
        <v>8</v>
      </c>
      <c r="E355" t="s">
        <v>9</v>
      </c>
    </row>
    <row r="356" spans="1:5" x14ac:dyDescent="0.25">
      <c r="A356" t="s">
        <v>374</v>
      </c>
      <c r="B356" t="s">
        <v>343</v>
      </c>
      <c r="C356" t="s">
        <v>14</v>
      </c>
      <c r="D356" t="s">
        <v>11</v>
      </c>
      <c r="E356" t="s">
        <v>9</v>
      </c>
    </row>
    <row r="357" spans="1:5" x14ac:dyDescent="0.25">
      <c r="A357" t="s">
        <v>375</v>
      </c>
      <c r="B357" t="s">
        <v>343</v>
      </c>
      <c r="C357" t="s">
        <v>7</v>
      </c>
      <c r="D357" t="s">
        <v>8</v>
      </c>
      <c r="E357" t="s">
        <v>16</v>
      </c>
    </row>
    <row r="358" spans="1:5" x14ac:dyDescent="0.25">
      <c r="A358" t="s">
        <v>376</v>
      </c>
      <c r="B358" t="s">
        <v>343</v>
      </c>
      <c r="C358" t="s">
        <v>14</v>
      </c>
      <c r="D358" t="s">
        <v>11</v>
      </c>
      <c r="E358" t="s">
        <v>9</v>
      </c>
    </row>
    <row r="359" spans="1:5" x14ac:dyDescent="0.25">
      <c r="A359" t="s">
        <v>377</v>
      </c>
      <c r="B359" t="s">
        <v>343</v>
      </c>
      <c r="C359" t="s">
        <v>14</v>
      </c>
      <c r="D359" t="s">
        <v>11</v>
      </c>
      <c r="E359" t="s">
        <v>19</v>
      </c>
    </row>
    <row r="360" spans="1:5" x14ac:dyDescent="0.25">
      <c r="A360" t="s">
        <v>378</v>
      </c>
      <c r="B360" t="s">
        <v>343</v>
      </c>
      <c r="C360" t="s">
        <v>7</v>
      </c>
      <c r="D360" t="s">
        <v>8</v>
      </c>
      <c r="E360" t="s">
        <v>19</v>
      </c>
    </row>
    <row r="361" spans="1:5" x14ac:dyDescent="0.25">
      <c r="A361" t="s">
        <v>379</v>
      </c>
      <c r="B361" t="s">
        <v>343</v>
      </c>
      <c r="C361" t="s">
        <v>7</v>
      </c>
      <c r="D361" t="s">
        <v>11</v>
      </c>
      <c r="E361" t="s">
        <v>12</v>
      </c>
    </row>
    <row r="362" spans="1:5" x14ac:dyDescent="0.25">
      <c r="A362" t="s">
        <v>380</v>
      </c>
      <c r="B362" t="s">
        <v>343</v>
      </c>
      <c r="C362" t="s">
        <v>7</v>
      </c>
      <c r="D362" t="s">
        <v>11</v>
      </c>
      <c r="E362" t="s">
        <v>9</v>
      </c>
    </row>
    <row r="363" spans="1:5" x14ac:dyDescent="0.25">
      <c r="A363" t="s">
        <v>381</v>
      </c>
      <c r="B363" t="s">
        <v>343</v>
      </c>
      <c r="C363" t="s">
        <v>7</v>
      </c>
      <c r="D363" t="s">
        <v>8</v>
      </c>
      <c r="E363" t="s">
        <v>9</v>
      </c>
    </row>
    <row r="364" spans="1:5" x14ac:dyDescent="0.25">
      <c r="A364" t="s">
        <v>382</v>
      </c>
      <c r="B364" t="s">
        <v>343</v>
      </c>
      <c r="C364" t="s">
        <v>7</v>
      </c>
      <c r="D364" t="s">
        <v>8</v>
      </c>
      <c r="E364" t="s">
        <v>16</v>
      </c>
    </row>
    <row r="365" spans="1:5" x14ac:dyDescent="0.25">
      <c r="A365" t="s">
        <v>383</v>
      </c>
      <c r="B365" t="s">
        <v>343</v>
      </c>
      <c r="C365" t="s">
        <v>14</v>
      </c>
      <c r="D365" t="s">
        <v>11</v>
      </c>
      <c r="E365" t="s">
        <v>9</v>
      </c>
    </row>
    <row r="366" spans="1:5" x14ac:dyDescent="0.25">
      <c r="A366" t="s">
        <v>384</v>
      </c>
      <c r="B366" t="s">
        <v>343</v>
      </c>
      <c r="C366" t="s">
        <v>14</v>
      </c>
      <c r="D366" t="s">
        <v>11</v>
      </c>
      <c r="E366" t="s">
        <v>29</v>
      </c>
    </row>
    <row r="367" spans="1:5" x14ac:dyDescent="0.25">
      <c r="A367" t="s">
        <v>385</v>
      </c>
      <c r="B367" t="s">
        <v>343</v>
      </c>
      <c r="C367" t="s">
        <v>14</v>
      </c>
      <c r="D367" t="s">
        <v>8</v>
      </c>
      <c r="E367" t="s">
        <v>19</v>
      </c>
    </row>
    <row r="368" spans="1:5" x14ac:dyDescent="0.25">
      <c r="A368" t="s">
        <v>386</v>
      </c>
      <c r="B368" t="s">
        <v>343</v>
      </c>
      <c r="C368" t="s">
        <v>14</v>
      </c>
      <c r="D368" t="s">
        <v>11</v>
      </c>
      <c r="E368" t="s">
        <v>24</v>
      </c>
    </row>
    <row r="369" spans="1:5" x14ac:dyDescent="0.25">
      <c r="A369" t="s">
        <v>387</v>
      </c>
      <c r="B369" t="s">
        <v>343</v>
      </c>
      <c r="C369" t="s">
        <v>14</v>
      </c>
      <c r="D369" t="s">
        <v>11</v>
      </c>
      <c r="E369" t="s">
        <v>24</v>
      </c>
    </row>
    <row r="370" spans="1:5" x14ac:dyDescent="0.25">
      <c r="A370" t="s">
        <v>388</v>
      </c>
      <c r="B370" t="s">
        <v>343</v>
      </c>
      <c r="C370" t="s">
        <v>14</v>
      </c>
      <c r="D370" t="s">
        <v>11</v>
      </c>
      <c r="E370" t="s">
        <v>16</v>
      </c>
    </row>
    <row r="371" spans="1:5" x14ac:dyDescent="0.25">
      <c r="A371" t="s">
        <v>389</v>
      </c>
      <c r="B371" t="s">
        <v>343</v>
      </c>
      <c r="C371" t="s">
        <v>14</v>
      </c>
      <c r="D371" t="s">
        <v>8</v>
      </c>
      <c r="E371" t="s">
        <v>9</v>
      </c>
    </row>
    <row r="372" spans="1:5" x14ac:dyDescent="0.25">
      <c r="A372" t="s">
        <v>390</v>
      </c>
      <c r="B372" t="s">
        <v>343</v>
      </c>
      <c r="C372" t="s">
        <v>7</v>
      </c>
      <c r="D372" t="s">
        <v>8</v>
      </c>
      <c r="E372" t="s">
        <v>9</v>
      </c>
    </row>
    <row r="373" spans="1:5" x14ac:dyDescent="0.25">
      <c r="A373" t="s">
        <v>391</v>
      </c>
      <c r="B373" t="s">
        <v>343</v>
      </c>
      <c r="C373" t="s">
        <v>7</v>
      </c>
      <c r="D373" t="s">
        <v>8</v>
      </c>
      <c r="E373" t="s">
        <v>19</v>
      </c>
    </row>
    <row r="374" spans="1:5" x14ac:dyDescent="0.25">
      <c r="A374" t="s">
        <v>392</v>
      </c>
      <c r="B374" t="s">
        <v>343</v>
      </c>
      <c r="C374" t="s">
        <v>14</v>
      </c>
      <c r="D374" t="s">
        <v>11</v>
      </c>
      <c r="E374" t="s">
        <v>9</v>
      </c>
    </row>
    <row r="375" spans="1:5" x14ac:dyDescent="0.25">
      <c r="A375" t="s">
        <v>393</v>
      </c>
      <c r="B375" t="s">
        <v>343</v>
      </c>
      <c r="C375" t="s">
        <v>7</v>
      </c>
      <c r="D375" t="s">
        <v>8</v>
      </c>
      <c r="E375" t="s">
        <v>9</v>
      </c>
    </row>
    <row r="376" spans="1:5" x14ac:dyDescent="0.25">
      <c r="A376" t="s">
        <v>394</v>
      </c>
      <c r="B376" t="s">
        <v>343</v>
      </c>
      <c r="C376" t="s">
        <v>14</v>
      </c>
      <c r="D376" t="s">
        <v>11</v>
      </c>
      <c r="E376" t="s">
        <v>9</v>
      </c>
    </row>
    <row r="377" spans="1:5" x14ac:dyDescent="0.25">
      <c r="A377" t="s">
        <v>395</v>
      </c>
      <c r="B377" t="s">
        <v>343</v>
      </c>
      <c r="C377" t="s">
        <v>14</v>
      </c>
      <c r="D377" t="s">
        <v>11</v>
      </c>
      <c r="E377" t="s">
        <v>9</v>
      </c>
    </row>
    <row r="378" spans="1:5" x14ac:dyDescent="0.25">
      <c r="A378" t="s">
        <v>396</v>
      </c>
      <c r="B378" t="s">
        <v>343</v>
      </c>
      <c r="C378" t="s">
        <v>7</v>
      </c>
      <c r="D378" t="s">
        <v>11</v>
      </c>
      <c r="E378" t="s">
        <v>9</v>
      </c>
    </row>
    <row r="379" spans="1:5" x14ac:dyDescent="0.25">
      <c r="A379" t="s">
        <v>397</v>
      </c>
      <c r="B379" t="s">
        <v>343</v>
      </c>
      <c r="C379" t="s">
        <v>7</v>
      </c>
      <c r="D379" t="s">
        <v>8</v>
      </c>
      <c r="E379" t="s">
        <v>12</v>
      </c>
    </row>
    <row r="380" spans="1:5" x14ac:dyDescent="0.25">
      <c r="A380" t="s">
        <v>398</v>
      </c>
      <c r="B380" t="s">
        <v>343</v>
      </c>
      <c r="C380" t="s">
        <v>14</v>
      </c>
      <c r="D380" t="s">
        <v>11</v>
      </c>
      <c r="E380" t="s">
        <v>16</v>
      </c>
    </row>
    <row r="381" spans="1:5" x14ac:dyDescent="0.25">
      <c r="A381" t="s">
        <v>399</v>
      </c>
      <c r="B381" t="s">
        <v>343</v>
      </c>
      <c r="C381" t="s">
        <v>7</v>
      </c>
      <c r="D381" t="s">
        <v>8</v>
      </c>
      <c r="E381" t="s">
        <v>16</v>
      </c>
    </row>
    <row r="382" spans="1:5" x14ac:dyDescent="0.25">
      <c r="A382" t="s">
        <v>400</v>
      </c>
      <c r="B382" t="s">
        <v>343</v>
      </c>
      <c r="C382" t="s">
        <v>7</v>
      </c>
      <c r="D382" t="s">
        <v>8</v>
      </c>
      <c r="E382" t="s">
        <v>9</v>
      </c>
    </row>
    <row r="383" spans="1:5" x14ac:dyDescent="0.25">
      <c r="A383" t="s">
        <v>401</v>
      </c>
      <c r="B383" t="s">
        <v>343</v>
      </c>
      <c r="C383" t="s">
        <v>14</v>
      </c>
      <c r="D383" t="s">
        <v>8</v>
      </c>
      <c r="E383" t="s">
        <v>16</v>
      </c>
    </row>
    <row r="384" spans="1:5" x14ac:dyDescent="0.25">
      <c r="A384" t="s">
        <v>402</v>
      </c>
      <c r="B384" t="s">
        <v>343</v>
      </c>
      <c r="C384" t="s">
        <v>14</v>
      </c>
      <c r="D384" t="s">
        <v>8</v>
      </c>
      <c r="E384" t="s">
        <v>9</v>
      </c>
    </row>
    <row r="385" spans="1:5" x14ac:dyDescent="0.25">
      <c r="A385" t="s">
        <v>403</v>
      </c>
      <c r="B385" t="s">
        <v>343</v>
      </c>
      <c r="C385" t="s">
        <v>14</v>
      </c>
      <c r="D385" t="s">
        <v>11</v>
      </c>
      <c r="E385" t="s">
        <v>9</v>
      </c>
    </row>
    <row r="386" spans="1:5" x14ac:dyDescent="0.25">
      <c r="A386" t="s">
        <v>404</v>
      </c>
      <c r="B386" t="s">
        <v>343</v>
      </c>
      <c r="C386" t="s">
        <v>14</v>
      </c>
      <c r="D386" t="s">
        <v>11</v>
      </c>
      <c r="E386" t="s">
        <v>9</v>
      </c>
    </row>
    <row r="387" spans="1:5" x14ac:dyDescent="0.25">
      <c r="A387" t="s">
        <v>405</v>
      </c>
      <c r="B387" t="s">
        <v>343</v>
      </c>
      <c r="C387" t="s">
        <v>7</v>
      </c>
      <c r="D387" t="s">
        <v>11</v>
      </c>
      <c r="E387" t="s">
        <v>12</v>
      </c>
    </row>
    <row r="388" spans="1:5" x14ac:dyDescent="0.25">
      <c r="A388" t="s">
        <v>406</v>
      </c>
      <c r="B388" t="s">
        <v>343</v>
      </c>
      <c r="C388" t="s">
        <v>14</v>
      </c>
      <c r="D388" t="s">
        <v>11</v>
      </c>
      <c r="E388" t="s">
        <v>29</v>
      </c>
    </row>
    <row r="389" spans="1:5" x14ac:dyDescent="0.25">
      <c r="A389" t="s">
        <v>407</v>
      </c>
      <c r="B389" t="s">
        <v>343</v>
      </c>
      <c r="C389" t="s">
        <v>7</v>
      </c>
      <c r="D389" t="s">
        <v>8</v>
      </c>
      <c r="E389" t="s">
        <v>19</v>
      </c>
    </row>
    <row r="390" spans="1:5" x14ac:dyDescent="0.25">
      <c r="A390" t="s">
        <v>408</v>
      </c>
      <c r="B390" t="s">
        <v>343</v>
      </c>
      <c r="C390" t="s">
        <v>7</v>
      </c>
      <c r="D390" t="s">
        <v>8</v>
      </c>
      <c r="E390" t="s">
        <v>9</v>
      </c>
    </row>
    <row r="391" spans="1:5" x14ac:dyDescent="0.25">
      <c r="A391" t="s">
        <v>409</v>
      </c>
      <c r="B391" t="s">
        <v>343</v>
      </c>
      <c r="C391" t="s">
        <v>14</v>
      </c>
      <c r="D391" t="s">
        <v>11</v>
      </c>
      <c r="E391" t="s">
        <v>16</v>
      </c>
    </row>
    <row r="392" spans="1:5" x14ac:dyDescent="0.25">
      <c r="A392" t="s">
        <v>410</v>
      </c>
      <c r="B392" t="s">
        <v>343</v>
      </c>
      <c r="C392" t="s">
        <v>14</v>
      </c>
      <c r="D392" t="s">
        <v>11</v>
      </c>
      <c r="E392" t="s">
        <v>29</v>
      </c>
    </row>
    <row r="393" spans="1:5" x14ac:dyDescent="0.25">
      <c r="A393" t="s">
        <v>411</v>
      </c>
      <c r="B393" t="s">
        <v>343</v>
      </c>
      <c r="C393" t="s">
        <v>14</v>
      </c>
      <c r="D393" t="s">
        <v>11</v>
      </c>
      <c r="E393" t="s">
        <v>9</v>
      </c>
    </row>
    <row r="394" spans="1:5" x14ac:dyDescent="0.25">
      <c r="A394" t="s">
        <v>412</v>
      </c>
      <c r="B394" t="s">
        <v>343</v>
      </c>
      <c r="C394" t="s">
        <v>7</v>
      </c>
      <c r="D394" t="s">
        <v>8</v>
      </c>
      <c r="E394" t="s">
        <v>9</v>
      </c>
    </row>
    <row r="395" spans="1:5" x14ac:dyDescent="0.25">
      <c r="A395" t="s">
        <v>413</v>
      </c>
      <c r="B395" t="s">
        <v>343</v>
      </c>
      <c r="C395" t="s">
        <v>14</v>
      </c>
      <c r="D395" t="s">
        <v>11</v>
      </c>
      <c r="E395" t="s">
        <v>9</v>
      </c>
    </row>
    <row r="396" spans="1:5" x14ac:dyDescent="0.25">
      <c r="A396" t="s">
        <v>414</v>
      </c>
      <c r="B396" t="s">
        <v>343</v>
      </c>
      <c r="C396" t="s">
        <v>14</v>
      </c>
      <c r="D396" t="s">
        <v>11</v>
      </c>
      <c r="E396" t="s">
        <v>29</v>
      </c>
    </row>
    <row r="397" spans="1:5" x14ac:dyDescent="0.25">
      <c r="A397" t="s">
        <v>415</v>
      </c>
      <c r="B397" t="s">
        <v>343</v>
      </c>
      <c r="C397" t="s">
        <v>7</v>
      </c>
      <c r="D397" t="s">
        <v>8</v>
      </c>
      <c r="E397" t="s">
        <v>29</v>
      </c>
    </row>
    <row r="398" spans="1:5" x14ac:dyDescent="0.25">
      <c r="A398" t="s">
        <v>416</v>
      </c>
      <c r="B398" t="s">
        <v>343</v>
      </c>
      <c r="C398" t="s">
        <v>7</v>
      </c>
      <c r="D398" t="s">
        <v>8</v>
      </c>
      <c r="E398" t="s">
        <v>16</v>
      </c>
    </row>
    <row r="399" spans="1:5" x14ac:dyDescent="0.25">
      <c r="A399" t="s">
        <v>417</v>
      </c>
      <c r="B399" t="s">
        <v>343</v>
      </c>
      <c r="C399" t="s">
        <v>14</v>
      </c>
      <c r="D399" t="s">
        <v>11</v>
      </c>
      <c r="E399" t="s">
        <v>24</v>
      </c>
    </row>
    <row r="400" spans="1:5" x14ac:dyDescent="0.25">
      <c r="A400" t="s">
        <v>418</v>
      </c>
      <c r="B400" t="s">
        <v>343</v>
      </c>
      <c r="C400" t="s">
        <v>7</v>
      </c>
      <c r="D400" t="s">
        <v>11</v>
      </c>
      <c r="E400" t="s">
        <v>12</v>
      </c>
    </row>
    <row r="401" spans="1:5" x14ac:dyDescent="0.25">
      <c r="A401" t="s">
        <v>419</v>
      </c>
      <c r="B401" t="s">
        <v>343</v>
      </c>
      <c r="C401" t="s">
        <v>14</v>
      </c>
      <c r="D401" t="s">
        <v>11</v>
      </c>
      <c r="E401" t="s">
        <v>19</v>
      </c>
    </row>
    <row r="402" spans="1:5" x14ac:dyDescent="0.25">
      <c r="A402" t="s">
        <v>420</v>
      </c>
      <c r="B402" t="s">
        <v>343</v>
      </c>
      <c r="C402" t="s">
        <v>7</v>
      </c>
      <c r="D402" t="s">
        <v>8</v>
      </c>
      <c r="E402" t="s">
        <v>16</v>
      </c>
    </row>
    <row r="403" spans="1:5" x14ac:dyDescent="0.25">
      <c r="A403" t="s">
        <v>421</v>
      </c>
      <c r="B403" t="s">
        <v>343</v>
      </c>
      <c r="C403" t="s">
        <v>7</v>
      </c>
      <c r="D403" t="s">
        <v>8</v>
      </c>
      <c r="E403" t="s">
        <v>9</v>
      </c>
    </row>
    <row r="404" spans="1:5" x14ac:dyDescent="0.25">
      <c r="A404" t="s">
        <v>422</v>
      </c>
      <c r="B404" t="s">
        <v>343</v>
      </c>
      <c r="C404" t="s">
        <v>7</v>
      </c>
      <c r="D404" t="s">
        <v>8</v>
      </c>
      <c r="E404" t="s">
        <v>16</v>
      </c>
    </row>
    <row r="405" spans="1:5" x14ac:dyDescent="0.25">
      <c r="A405" t="s">
        <v>423</v>
      </c>
      <c r="B405" t="s">
        <v>343</v>
      </c>
      <c r="C405" t="s">
        <v>14</v>
      </c>
      <c r="D405" t="s">
        <v>11</v>
      </c>
      <c r="E405" t="s">
        <v>9</v>
      </c>
    </row>
    <row r="406" spans="1:5" x14ac:dyDescent="0.25">
      <c r="A406" t="s">
        <v>424</v>
      </c>
      <c r="B406" t="s">
        <v>343</v>
      </c>
      <c r="C406" t="s">
        <v>14</v>
      </c>
      <c r="D406" t="s">
        <v>11</v>
      </c>
      <c r="E406" t="s">
        <v>9</v>
      </c>
    </row>
    <row r="407" spans="1:5" x14ac:dyDescent="0.25">
      <c r="A407" t="s">
        <v>425</v>
      </c>
      <c r="B407" t="s">
        <v>343</v>
      </c>
      <c r="C407" t="s">
        <v>14</v>
      </c>
      <c r="D407" t="s">
        <v>11</v>
      </c>
      <c r="E407" t="s">
        <v>29</v>
      </c>
    </row>
    <row r="408" spans="1:5" x14ac:dyDescent="0.25">
      <c r="A408" t="s">
        <v>426</v>
      </c>
      <c r="B408" t="s">
        <v>343</v>
      </c>
      <c r="C408" t="s">
        <v>14</v>
      </c>
      <c r="D408" t="s">
        <v>11</v>
      </c>
      <c r="E408" t="s">
        <v>19</v>
      </c>
    </row>
    <row r="409" spans="1:5" x14ac:dyDescent="0.25">
      <c r="A409" t="s">
        <v>427</v>
      </c>
      <c r="B409" t="s">
        <v>343</v>
      </c>
      <c r="C409" t="s">
        <v>7</v>
      </c>
      <c r="D409" t="s">
        <v>8</v>
      </c>
      <c r="E409" t="s">
        <v>9</v>
      </c>
    </row>
    <row r="410" spans="1:5" x14ac:dyDescent="0.25">
      <c r="A410" t="s">
        <v>428</v>
      </c>
      <c r="B410" t="s">
        <v>343</v>
      </c>
      <c r="C410" t="s">
        <v>14</v>
      </c>
      <c r="D410" t="s">
        <v>11</v>
      </c>
      <c r="E410" t="s">
        <v>29</v>
      </c>
    </row>
    <row r="411" spans="1:5" x14ac:dyDescent="0.25">
      <c r="A411" t="s">
        <v>429</v>
      </c>
      <c r="B411" t="s">
        <v>343</v>
      </c>
      <c r="C411" t="s">
        <v>14</v>
      </c>
      <c r="D411" t="s">
        <v>11</v>
      </c>
      <c r="E411" t="s">
        <v>16</v>
      </c>
    </row>
    <row r="412" spans="1:5" x14ac:dyDescent="0.25">
      <c r="A412" t="s">
        <v>430</v>
      </c>
      <c r="B412" t="s">
        <v>343</v>
      </c>
      <c r="C412" t="s">
        <v>14</v>
      </c>
      <c r="D412" t="s">
        <v>11</v>
      </c>
      <c r="E412" t="s">
        <v>9</v>
      </c>
    </row>
    <row r="413" spans="1:5" x14ac:dyDescent="0.25">
      <c r="A413" t="s">
        <v>431</v>
      </c>
      <c r="B413" t="s">
        <v>343</v>
      </c>
      <c r="C413" t="s">
        <v>14</v>
      </c>
      <c r="D413" t="s">
        <v>8</v>
      </c>
      <c r="E413" t="s">
        <v>16</v>
      </c>
    </row>
    <row r="414" spans="1:5" x14ac:dyDescent="0.25">
      <c r="A414" t="s">
        <v>432</v>
      </c>
      <c r="B414" t="s">
        <v>343</v>
      </c>
      <c r="C414" t="s">
        <v>14</v>
      </c>
      <c r="D414" t="s">
        <v>11</v>
      </c>
      <c r="E414" t="s">
        <v>16</v>
      </c>
    </row>
    <row r="415" spans="1:5" x14ac:dyDescent="0.25">
      <c r="A415" t="s">
        <v>433</v>
      </c>
      <c r="B415" t="s">
        <v>343</v>
      </c>
      <c r="C415" t="s">
        <v>14</v>
      </c>
      <c r="D415" t="s">
        <v>11</v>
      </c>
      <c r="E415" t="s">
        <v>16</v>
      </c>
    </row>
    <row r="416" spans="1:5" x14ac:dyDescent="0.25">
      <c r="A416" t="s">
        <v>434</v>
      </c>
      <c r="B416" t="s">
        <v>343</v>
      </c>
      <c r="C416" t="s">
        <v>14</v>
      </c>
      <c r="D416" t="s">
        <v>11</v>
      </c>
      <c r="E416" t="s">
        <v>16</v>
      </c>
    </row>
    <row r="417" spans="1:5" x14ac:dyDescent="0.25">
      <c r="A417" t="s">
        <v>435</v>
      </c>
      <c r="B417" t="s">
        <v>343</v>
      </c>
      <c r="C417" t="s">
        <v>7</v>
      </c>
      <c r="D417" t="s">
        <v>8</v>
      </c>
      <c r="E417" t="s">
        <v>16</v>
      </c>
    </row>
    <row r="418" spans="1:5" x14ac:dyDescent="0.25">
      <c r="A418" t="s">
        <v>436</v>
      </c>
      <c r="B418" t="s">
        <v>343</v>
      </c>
      <c r="C418" t="s">
        <v>14</v>
      </c>
      <c r="D418" t="s">
        <v>11</v>
      </c>
      <c r="E418" t="s">
        <v>29</v>
      </c>
    </row>
    <row r="419" spans="1:5" x14ac:dyDescent="0.25">
      <c r="A419" t="s">
        <v>437</v>
      </c>
      <c r="B419" t="s">
        <v>343</v>
      </c>
      <c r="C419" t="s">
        <v>14</v>
      </c>
      <c r="D419" t="s">
        <v>11</v>
      </c>
      <c r="E419" t="s">
        <v>9</v>
      </c>
    </row>
    <row r="420" spans="1:5" x14ac:dyDescent="0.25">
      <c r="A420" t="s">
        <v>438</v>
      </c>
      <c r="B420" t="s">
        <v>343</v>
      </c>
      <c r="C420" t="s">
        <v>14</v>
      </c>
      <c r="D420" t="s">
        <v>11</v>
      </c>
      <c r="E420" t="s">
        <v>19</v>
      </c>
    </row>
    <row r="421" spans="1:5" x14ac:dyDescent="0.25">
      <c r="A421" t="s">
        <v>439</v>
      </c>
      <c r="B421" t="s">
        <v>343</v>
      </c>
      <c r="C421" t="s">
        <v>14</v>
      </c>
      <c r="D421" t="s">
        <v>11</v>
      </c>
      <c r="E421" t="s">
        <v>9</v>
      </c>
    </row>
    <row r="422" spans="1:5" x14ac:dyDescent="0.25">
      <c r="A422" t="s">
        <v>440</v>
      </c>
      <c r="B422" t="s">
        <v>343</v>
      </c>
      <c r="C422" t="s">
        <v>14</v>
      </c>
      <c r="D422" t="s">
        <v>11</v>
      </c>
      <c r="E422" t="s">
        <v>9</v>
      </c>
    </row>
    <row r="423" spans="1:5" x14ac:dyDescent="0.25">
      <c r="A423" t="s">
        <v>441</v>
      </c>
      <c r="B423" t="s">
        <v>343</v>
      </c>
      <c r="C423" t="s">
        <v>14</v>
      </c>
      <c r="D423" t="s">
        <v>11</v>
      </c>
      <c r="E423" t="s">
        <v>9</v>
      </c>
    </row>
    <row r="424" spans="1:5" x14ac:dyDescent="0.25">
      <c r="A424" t="s">
        <v>442</v>
      </c>
      <c r="B424" t="s">
        <v>343</v>
      </c>
      <c r="C424" t="s">
        <v>14</v>
      </c>
      <c r="D424" t="s">
        <v>11</v>
      </c>
      <c r="E424" t="s">
        <v>9</v>
      </c>
    </row>
    <row r="425" spans="1:5" x14ac:dyDescent="0.25">
      <c r="A425" t="s">
        <v>443</v>
      </c>
      <c r="B425" t="s">
        <v>343</v>
      </c>
      <c r="C425" t="s">
        <v>14</v>
      </c>
      <c r="D425" t="s">
        <v>11</v>
      </c>
      <c r="E425" t="s">
        <v>16</v>
      </c>
    </row>
    <row r="426" spans="1:5" x14ac:dyDescent="0.25">
      <c r="A426" t="s">
        <v>444</v>
      </c>
      <c r="B426" t="s">
        <v>343</v>
      </c>
      <c r="C426" t="s">
        <v>14</v>
      </c>
      <c r="D426" t="s">
        <v>11</v>
      </c>
      <c r="E426" t="s">
        <v>16</v>
      </c>
    </row>
    <row r="427" spans="1:5" x14ac:dyDescent="0.25">
      <c r="A427" t="s">
        <v>445</v>
      </c>
      <c r="B427" t="s">
        <v>343</v>
      </c>
      <c r="C427" t="s">
        <v>14</v>
      </c>
      <c r="D427" t="s">
        <v>11</v>
      </c>
      <c r="E427" t="s">
        <v>24</v>
      </c>
    </row>
    <row r="428" spans="1:5" x14ac:dyDescent="0.25">
      <c r="A428" t="s">
        <v>446</v>
      </c>
      <c r="B428" t="s">
        <v>343</v>
      </c>
      <c r="C428" t="s">
        <v>14</v>
      </c>
      <c r="D428" t="s">
        <v>11</v>
      </c>
      <c r="E428" t="s">
        <v>16</v>
      </c>
    </row>
    <row r="429" spans="1:5" x14ac:dyDescent="0.25">
      <c r="A429" t="s">
        <v>447</v>
      </c>
      <c r="B429" t="s">
        <v>343</v>
      </c>
      <c r="C429" t="s">
        <v>7</v>
      </c>
      <c r="D429" t="s">
        <v>11</v>
      </c>
      <c r="E429" t="s">
        <v>12</v>
      </c>
    </row>
    <row r="430" spans="1:5" x14ac:dyDescent="0.25">
      <c r="A430" t="s">
        <v>448</v>
      </c>
      <c r="B430" t="s">
        <v>343</v>
      </c>
      <c r="C430" t="s">
        <v>7</v>
      </c>
      <c r="D430" t="s">
        <v>8</v>
      </c>
      <c r="E430" t="s">
        <v>9</v>
      </c>
    </row>
    <row r="431" spans="1:5" x14ac:dyDescent="0.25">
      <c r="A431" t="s">
        <v>449</v>
      </c>
      <c r="B431" t="s">
        <v>343</v>
      </c>
      <c r="C431" t="s">
        <v>14</v>
      </c>
      <c r="D431" t="s">
        <v>11</v>
      </c>
      <c r="E431" t="s">
        <v>19</v>
      </c>
    </row>
    <row r="432" spans="1:5" x14ac:dyDescent="0.25">
      <c r="A432" t="s">
        <v>450</v>
      </c>
      <c r="B432" t="s">
        <v>343</v>
      </c>
      <c r="C432" t="s">
        <v>7</v>
      </c>
      <c r="D432" t="s">
        <v>8</v>
      </c>
      <c r="E432" t="s">
        <v>12</v>
      </c>
    </row>
    <row r="433" spans="1:5" x14ac:dyDescent="0.25">
      <c r="A433" t="s">
        <v>451</v>
      </c>
      <c r="B433" t="s">
        <v>343</v>
      </c>
      <c r="C433" t="s">
        <v>14</v>
      </c>
      <c r="D433" t="s">
        <v>11</v>
      </c>
      <c r="E433" t="s">
        <v>9</v>
      </c>
    </row>
    <row r="434" spans="1:5" x14ac:dyDescent="0.25">
      <c r="A434" t="s">
        <v>452</v>
      </c>
      <c r="B434" t="s">
        <v>343</v>
      </c>
      <c r="C434" t="s">
        <v>7</v>
      </c>
      <c r="D434" t="s">
        <v>11</v>
      </c>
      <c r="E434" t="s">
        <v>21</v>
      </c>
    </row>
    <row r="435" spans="1:5" x14ac:dyDescent="0.25">
      <c r="A435" t="s">
        <v>453</v>
      </c>
      <c r="B435" t="s">
        <v>343</v>
      </c>
      <c r="C435" t="s">
        <v>14</v>
      </c>
      <c r="D435" t="s">
        <v>11</v>
      </c>
      <c r="E435" t="s">
        <v>16</v>
      </c>
    </row>
    <row r="436" spans="1:5" x14ac:dyDescent="0.25">
      <c r="A436" t="s">
        <v>454</v>
      </c>
      <c r="B436" t="s">
        <v>343</v>
      </c>
      <c r="C436" t="s">
        <v>7</v>
      </c>
      <c r="D436" t="s">
        <v>8</v>
      </c>
      <c r="E436" t="s">
        <v>12</v>
      </c>
    </row>
    <row r="437" spans="1:5" x14ac:dyDescent="0.25">
      <c r="A437" t="s">
        <v>455</v>
      </c>
      <c r="B437" t="s">
        <v>343</v>
      </c>
      <c r="C437" t="s">
        <v>14</v>
      </c>
      <c r="D437" t="s">
        <v>11</v>
      </c>
      <c r="E437" t="s">
        <v>19</v>
      </c>
    </row>
    <row r="438" spans="1:5" x14ac:dyDescent="0.25">
      <c r="A438" t="s">
        <v>456</v>
      </c>
      <c r="B438" t="s">
        <v>343</v>
      </c>
      <c r="C438" t="s">
        <v>7</v>
      </c>
      <c r="D438" t="s">
        <v>8</v>
      </c>
      <c r="E438" t="s">
        <v>19</v>
      </c>
    </row>
    <row r="439" spans="1:5" x14ac:dyDescent="0.25">
      <c r="A439" t="s">
        <v>457</v>
      </c>
      <c r="B439" t="s">
        <v>343</v>
      </c>
      <c r="C439" t="s">
        <v>7</v>
      </c>
      <c r="D439" t="s">
        <v>8</v>
      </c>
      <c r="E439" t="s">
        <v>9</v>
      </c>
    </row>
    <row r="440" spans="1:5" x14ac:dyDescent="0.25">
      <c r="A440" t="s">
        <v>458</v>
      </c>
      <c r="B440" t="s">
        <v>343</v>
      </c>
      <c r="C440" t="s">
        <v>7</v>
      </c>
      <c r="D440" t="s">
        <v>8</v>
      </c>
      <c r="E440" t="s">
        <v>9</v>
      </c>
    </row>
    <row r="441" spans="1:5" x14ac:dyDescent="0.25">
      <c r="A441" t="s">
        <v>459</v>
      </c>
      <c r="B441" t="s">
        <v>343</v>
      </c>
      <c r="C441" t="s">
        <v>14</v>
      </c>
      <c r="D441" t="s">
        <v>11</v>
      </c>
      <c r="E441" t="s">
        <v>19</v>
      </c>
    </row>
    <row r="442" spans="1:5" x14ac:dyDescent="0.25">
      <c r="A442" t="s">
        <v>460</v>
      </c>
      <c r="B442" t="s">
        <v>343</v>
      </c>
      <c r="C442" t="s">
        <v>7</v>
      </c>
      <c r="D442" t="s">
        <v>8</v>
      </c>
      <c r="E442" t="s">
        <v>19</v>
      </c>
    </row>
    <row r="443" spans="1:5" x14ac:dyDescent="0.25">
      <c r="A443" t="s">
        <v>461</v>
      </c>
      <c r="B443" t="s">
        <v>343</v>
      </c>
      <c r="C443" t="s">
        <v>7</v>
      </c>
      <c r="D443" t="s">
        <v>8</v>
      </c>
      <c r="E443" t="s">
        <v>24</v>
      </c>
    </row>
    <row r="444" spans="1:5" x14ac:dyDescent="0.25">
      <c r="A444" t="s">
        <v>462</v>
      </c>
      <c r="B444" t="s">
        <v>343</v>
      </c>
      <c r="C444" t="s">
        <v>14</v>
      </c>
      <c r="D444" t="s">
        <v>11</v>
      </c>
      <c r="E444" t="s">
        <v>9</v>
      </c>
    </row>
    <row r="445" spans="1:5" x14ac:dyDescent="0.25">
      <c r="A445" t="s">
        <v>463</v>
      </c>
      <c r="B445" t="s">
        <v>343</v>
      </c>
      <c r="C445" t="s">
        <v>14</v>
      </c>
      <c r="D445" t="s">
        <v>11</v>
      </c>
      <c r="E445" t="s">
        <v>16</v>
      </c>
    </row>
    <row r="446" spans="1:5" x14ac:dyDescent="0.25">
      <c r="A446" t="s">
        <v>464</v>
      </c>
      <c r="B446" t="s">
        <v>343</v>
      </c>
      <c r="C446" t="s">
        <v>14</v>
      </c>
      <c r="D446" t="s">
        <v>11</v>
      </c>
      <c r="E446" t="s">
        <v>9</v>
      </c>
    </row>
    <row r="447" spans="1:5" x14ac:dyDescent="0.25">
      <c r="A447" t="s">
        <v>465</v>
      </c>
      <c r="B447" t="s">
        <v>343</v>
      </c>
      <c r="C447" t="s">
        <v>14</v>
      </c>
      <c r="D447" t="s">
        <v>8</v>
      </c>
      <c r="E447" t="s">
        <v>29</v>
      </c>
    </row>
    <row r="448" spans="1:5" x14ac:dyDescent="0.25">
      <c r="A448" t="s">
        <v>466</v>
      </c>
      <c r="B448" t="s">
        <v>343</v>
      </c>
      <c r="C448" t="s">
        <v>7</v>
      </c>
      <c r="D448" t="s">
        <v>8</v>
      </c>
      <c r="E448" t="s">
        <v>9</v>
      </c>
    </row>
    <row r="449" spans="1:5" x14ac:dyDescent="0.25">
      <c r="A449" t="s">
        <v>467</v>
      </c>
      <c r="B449" t="s">
        <v>343</v>
      </c>
      <c r="C449" t="s">
        <v>14</v>
      </c>
      <c r="D449" t="s">
        <v>11</v>
      </c>
      <c r="E449" t="s">
        <v>9</v>
      </c>
    </row>
    <row r="450" spans="1:5" x14ac:dyDescent="0.25">
      <c r="A450" t="s">
        <v>468</v>
      </c>
      <c r="B450" t="s">
        <v>343</v>
      </c>
      <c r="C450" t="s">
        <v>14</v>
      </c>
      <c r="D450" t="s">
        <v>11</v>
      </c>
      <c r="E450" t="s">
        <v>16</v>
      </c>
    </row>
    <row r="451" spans="1:5" x14ac:dyDescent="0.25">
      <c r="A451" t="s">
        <v>469</v>
      </c>
      <c r="B451" t="s">
        <v>343</v>
      </c>
      <c r="C451" t="s">
        <v>7</v>
      </c>
      <c r="D451" t="s">
        <v>8</v>
      </c>
      <c r="E451" t="s">
        <v>24</v>
      </c>
    </row>
    <row r="452" spans="1:5" x14ac:dyDescent="0.25">
      <c r="A452" t="s">
        <v>470</v>
      </c>
      <c r="B452" t="s">
        <v>343</v>
      </c>
      <c r="C452" t="s">
        <v>14</v>
      </c>
      <c r="D452" t="s">
        <v>11</v>
      </c>
      <c r="E452" t="s">
        <v>24</v>
      </c>
    </row>
    <row r="453" spans="1:5" x14ac:dyDescent="0.25">
      <c r="A453" t="s">
        <v>471</v>
      </c>
      <c r="B453" t="s">
        <v>343</v>
      </c>
      <c r="C453" t="s">
        <v>14</v>
      </c>
      <c r="D453" t="s">
        <v>11</v>
      </c>
      <c r="E453" t="s">
        <v>19</v>
      </c>
    </row>
    <row r="454" spans="1:5" x14ac:dyDescent="0.25">
      <c r="A454" t="s">
        <v>472</v>
      </c>
      <c r="B454" t="s">
        <v>343</v>
      </c>
      <c r="C454" t="s">
        <v>7</v>
      </c>
      <c r="D454" t="s">
        <v>8</v>
      </c>
      <c r="E454" t="s">
        <v>9</v>
      </c>
    </row>
    <row r="455" spans="1:5" x14ac:dyDescent="0.25">
      <c r="A455" t="s">
        <v>473</v>
      </c>
      <c r="B455" t="s">
        <v>343</v>
      </c>
      <c r="C455" t="s">
        <v>14</v>
      </c>
      <c r="D455" t="s">
        <v>11</v>
      </c>
      <c r="E455" t="s">
        <v>9</v>
      </c>
    </row>
    <row r="456" spans="1:5" x14ac:dyDescent="0.25">
      <c r="A456" t="s">
        <v>474</v>
      </c>
      <c r="B456" t="s">
        <v>343</v>
      </c>
      <c r="C456" t="s">
        <v>7</v>
      </c>
      <c r="D456" t="s">
        <v>11</v>
      </c>
      <c r="E456" t="s">
        <v>19</v>
      </c>
    </row>
    <row r="457" spans="1:5" x14ac:dyDescent="0.25">
      <c r="A457" t="s">
        <v>475</v>
      </c>
      <c r="B457" t="s">
        <v>343</v>
      </c>
      <c r="C457" t="s">
        <v>14</v>
      </c>
      <c r="D457" t="s">
        <v>11</v>
      </c>
      <c r="E457" t="s">
        <v>21</v>
      </c>
    </row>
    <row r="458" spans="1:5" x14ac:dyDescent="0.25">
      <c r="A458" t="s">
        <v>476</v>
      </c>
      <c r="B458" t="s">
        <v>343</v>
      </c>
      <c r="C458" t="s">
        <v>14</v>
      </c>
      <c r="D458" t="s">
        <v>8</v>
      </c>
      <c r="E458" t="s">
        <v>21</v>
      </c>
    </row>
    <row r="459" spans="1:5" x14ac:dyDescent="0.25">
      <c r="A459" t="s">
        <v>477</v>
      </c>
      <c r="B459" t="s">
        <v>343</v>
      </c>
      <c r="C459" t="s">
        <v>14</v>
      </c>
      <c r="D459" t="s">
        <v>11</v>
      </c>
      <c r="E459" t="s">
        <v>16</v>
      </c>
    </row>
    <row r="460" spans="1:5" x14ac:dyDescent="0.25">
      <c r="A460" t="s">
        <v>478</v>
      </c>
      <c r="B460" t="s">
        <v>343</v>
      </c>
      <c r="C460" t="s">
        <v>7</v>
      </c>
      <c r="D460" t="s">
        <v>8</v>
      </c>
      <c r="E460" t="s">
        <v>29</v>
      </c>
    </row>
    <row r="461" spans="1:5" x14ac:dyDescent="0.25">
      <c r="A461" t="s">
        <v>479</v>
      </c>
      <c r="B461" t="s">
        <v>343</v>
      </c>
      <c r="C461" t="s">
        <v>14</v>
      </c>
      <c r="D461" t="s">
        <v>11</v>
      </c>
      <c r="E461" t="s">
        <v>19</v>
      </c>
    </row>
    <row r="462" spans="1:5" x14ac:dyDescent="0.25">
      <c r="A462" t="s">
        <v>480</v>
      </c>
      <c r="B462" t="s">
        <v>343</v>
      </c>
      <c r="C462" t="s">
        <v>7</v>
      </c>
      <c r="D462" t="s">
        <v>8</v>
      </c>
      <c r="E462" t="s">
        <v>9</v>
      </c>
    </row>
    <row r="463" spans="1:5" x14ac:dyDescent="0.25">
      <c r="A463" t="s">
        <v>481</v>
      </c>
      <c r="B463" t="s">
        <v>343</v>
      </c>
      <c r="C463" t="s">
        <v>14</v>
      </c>
      <c r="D463" t="s">
        <v>11</v>
      </c>
      <c r="E463" t="s">
        <v>19</v>
      </c>
    </row>
    <row r="464" spans="1:5" x14ac:dyDescent="0.25">
      <c r="A464" t="s">
        <v>482</v>
      </c>
      <c r="B464" t="s">
        <v>343</v>
      </c>
      <c r="C464" t="s">
        <v>14</v>
      </c>
      <c r="D464" t="s">
        <v>11</v>
      </c>
      <c r="E464" t="s">
        <v>9</v>
      </c>
    </row>
    <row r="465" spans="1:5" x14ac:dyDescent="0.25">
      <c r="A465" t="s">
        <v>483</v>
      </c>
      <c r="B465" t="s">
        <v>343</v>
      </c>
      <c r="C465" t="s">
        <v>14</v>
      </c>
      <c r="D465" t="s">
        <v>11</v>
      </c>
      <c r="E465" t="s">
        <v>9</v>
      </c>
    </row>
    <row r="466" spans="1:5" x14ac:dyDescent="0.25">
      <c r="A466" t="s">
        <v>484</v>
      </c>
      <c r="B466" t="s">
        <v>343</v>
      </c>
      <c r="C466" t="s">
        <v>14</v>
      </c>
      <c r="D466" t="s">
        <v>11</v>
      </c>
      <c r="E466" t="s">
        <v>16</v>
      </c>
    </row>
    <row r="467" spans="1:5" x14ac:dyDescent="0.25">
      <c r="A467" t="s">
        <v>485</v>
      </c>
      <c r="B467" t="s">
        <v>343</v>
      </c>
      <c r="C467" t="s">
        <v>7</v>
      </c>
      <c r="D467" t="s">
        <v>8</v>
      </c>
      <c r="E467" t="s">
        <v>9</v>
      </c>
    </row>
    <row r="468" spans="1:5" x14ac:dyDescent="0.25">
      <c r="A468" t="s">
        <v>486</v>
      </c>
      <c r="B468" t="s">
        <v>343</v>
      </c>
      <c r="C468" t="s">
        <v>14</v>
      </c>
      <c r="D468" t="s">
        <v>11</v>
      </c>
      <c r="E468" t="s">
        <v>16</v>
      </c>
    </row>
    <row r="469" spans="1:5" x14ac:dyDescent="0.25">
      <c r="A469" t="s">
        <v>487</v>
      </c>
      <c r="B469" t="s">
        <v>343</v>
      </c>
      <c r="C469" t="s">
        <v>7</v>
      </c>
      <c r="D469" t="s">
        <v>8</v>
      </c>
      <c r="E469" t="s">
        <v>9</v>
      </c>
    </row>
    <row r="470" spans="1:5" x14ac:dyDescent="0.25">
      <c r="A470" t="s">
        <v>488</v>
      </c>
      <c r="B470" t="s">
        <v>343</v>
      </c>
      <c r="C470" t="s">
        <v>14</v>
      </c>
      <c r="D470" t="s">
        <v>8</v>
      </c>
      <c r="E470" t="s">
        <v>9</v>
      </c>
    </row>
    <row r="471" spans="1:5" x14ac:dyDescent="0.25">
      <c r="A471" t="s">
        <v>489</v>
      </c>
      <c r="B471" t="s">
        <v>343</v>
      </c>
      <c r="C471" t="s">
        <v>7</v>
      </c>
      <c r="D471" t="s">
        <v>8</v>
      </c>
      <c r="E471" t="s">
        <v>9</v>
      </c>
    </row>
    <row r="472" spans="1:5" x14ac:dyDescent="0.25">
      <c r="A472" t="s">
        <v>490</v>
      </c>
      <c r="B472" t="s">
        <v>343</v>
      </c>
      <c r="C472" t="s">
        <v>14</v>
      </c>
      <c r="D472" t="s">
        <v>11</v>
      </c>
      <c r="E472" t="s">
        <v>16</v>
      </c>
    </row>
    <row r="473" spans="1:5" x14ac:dyDescent="0.25">
      <c r="A473" t="s">
        <v>491</v>
      </c>
      <c r="B473" t="s">
        <v>343</v>
      </c>
      <c r="C473" t="s">
        <v>7</v>
      </c>
      <c r="D473" t="s">
        <v>8</v>
      </c>
      <c r="E473" t="s">
        <v>19</v>
      </c>
    </row>
    <row r="474" spans="1:5" x14ac:dyDescent="0.25">
      <c r="A474" t="s">
        <v>492</v>
      </c>
      <c r="B474" t="s">
        <v>343</v>
      </c>
      <c r="C474" t="s">
        <v>14</v>
      </c>
      <c r="D474" t="s">
        <v>11</v>
      </c>
      <c r="E474" t="s">
        <v>24</v>
      </c>
    </row>
    <row r="475" spans="1:5" x14ac:dyDescent="0.25">
      <c r="A475" t="s">
        <v>493</v>
      </c>
      <c r="B475" t="s">
        <v>343</v>
      </c>
      <c r="C475" t="s">
        <v>14</v>
      </c>
      <c r="D475" t="s">
        <v>11</v>
      </c>
      <c r="E475" t="s">
        <v>9</v>
      </c>
    </row>
    <row r="476" spans="1:5" x14ac:dyDescent="0.25">
      <c r="A476" t="s">
        <v>494</v>
      </c>
      <c r="B476" t="s">
        <v>343</v>
      </c>
      <c r="C476" t="s">
        <v>14</v>
      </c>
      <c r="D476" t="s">
        <v>11</v>
      </c>
      <c r="E476" t="s">
        <v>16</v>
      </c>
    </row>
    <row r="477" spans="1:5" x14ac:dyDescent="0.25">
      <c r="A477" t="s">
        <v>495</v>
      </c>
      <c r="B477" t="s">
        <v>343</v>
      </c>
      <c r="C477" t="s">
        <v>14</v>
      </c>
      <c r="D477" t="s">
        <v>8</v>
      </c>
      <c r="E477" t="s">
        <v>9</v>
      </c>
    </row>
    <row r="478" spans="1:5" x14ac:dyDescent="0.25">
      <c r="A478" t="s">
        <v>496</v>
      </c>
      <c r="B478" t="s">
        <v>343</v>
      </c>
      <c r="C478" t="s">
        <v>14</v>
      </c>
      <c r="D478" t="s">
        <v>11</v>
      </c>
      <c r="E478" t="s">
        <v>16</v>
      </c>
    </row>
    <row r="479" spans="1:5" x14ac:dyDescent="0.25">
      <c r="A479" t="s">
        <v>497</v>
      </c>
      <c r="B479" t="s">
        <v>343</v>
      </c>
      <c r="C479" t="s">
        <v>14</v>
      </c>
      <c r="D479" t="s">
        <v>11</v>
      </c>
      <c r="E479" t="s">
        <v>9</v>
      </c>
    </row>
    <row r="480" spans="1:5" x14ac:dyDescent="0.25">
      <c r="A480" t="s">
        <v>498</v>
      </c>
      <c r="B480" t="s">
        <v>343</v>
      </c>
      <c r="C480" t="s">
        <v>7</v>
      </c>
      <c r="D480" t="s">
        <v>8</v>
      </c>
      <c r="E480" t="s">
        <v>12</v>
      </c>
    </row>
    <row r="481" spans="1:5" x14ac:dyDescent="0.25">
      <c r="A481" t="s">
        <v>499</v>
      </c>
      <c r="B481" t="s">
        <v>343</v>
      </c>
      <c r="C481" t="s">
        <v>7</v>
      </c>
      <c r="D481" t="s">
        <v>8</v>
      </c>
      <c r="E481" t="s">
        <v>12</v>
      </c>
    </row>
    <row r="482" spans="1:5" x14ac:dyDescent="0.25">
      <c r="A482" t="s">
        <v>500</v>
      </c>
      <c r="B482" t="s">
        <v>343</v>
      </c>
      <c r="C482" t="s">
        <v>14</v>
      </c>
      <c r="D482" t="s">
        <v>11</v>
      </c>
      <c r="E482" t="s">
        <v>9</v>
      </c>
    </row>
    <row r="483" spans="1:5" x14ac:dyDescent="0.25">
      <c r="A483" t="s">
        <v>501</v>
      </c>
      <c r="B483" t="s">
        <v>343</v>
      </c>
      <c r="C483" t="s">
        <v>7</v>
      </c>
      <c r="D483" t="s">
        <v>8</v>
      </c>
      <c r="E483" t="s">
        <v>9</v>
      </c>
    </row>
    <row r="484" spans="1:5" x14ac:dyDescent="0.25">
      <c r="A484" t="s">
        <v>502</v>
      </c>
      <c r="B484" t="s">
        <v>343</v>
      </c>
      <c r="C484" t="s">
        <v>7</v>
      </c>
      <c r="D484" t="s">
        <v>8</v>
      </c>
      <c r="E484" t="s">
        <v>29</v>
      </c>
    </row>
    <row r="485" spans="1:5" x14ac:dyDescent="0.25">
      <c r="A485" t="s">
        <v>503</v>
      </c>
      <c r="B485" t="s">
        <v>343</v>
      </c>
      <c r="C485" t="s">
        <v>7</v>
      </c>
      <c r="D485" t="s">
        <v>8</v>
      </c>
      <c r="E485" t="s">
        <v>9</v>
      </c>
    </row>
    <row r="486" spans="1:5" x14ac:dyDescent="0.25">
      <c r="A486" t="s">
        <v>504</v>
      </c>
      <c r="B486" t="s">
        <v>343</v>
      </c>
      <c r="C486" t="s">
        <v>7</v>
      </c>
      <c r="D486" t="s">
        <v>8</v>
      </c>
      <c r="E486" t="s">
        <v>16</v>
      </c>
    </row>
    <row r="487" spans="1:5" x14ac:dyDescent="0.25">
      <c r="A487" t="s">
        <v>505</v>
      </c>
      <c r="B487" t="s">
        <v>343</v>
      </c>
      <c r="C487" t="s">
        <v>14</v>
      </c>
      <c r="D487" t="s">
        <v>11</v>
      </c>
      <c r="E487" t="s">
        <v>16</v>
      </c>
    </row>
    <row r="488" spans="1:5" x14ac:dyDescent="0.25">
      <c r="A488" t="s">
        <v>506</v>
      </c>
      <c r="B488" t="s">
        <v>343</v>
      </c>
      <c r="C488" t="s">
        <v>14</v>
      </c>
      <c r="D488" t="s">
        <v>11</v>
      </c>
      <c r="E488" t="s">
        <v>9</v>
      </c>
    </row>
    <row r="489" spans="1:5" x14ac:dyDescent="0.25">
      <c r="A489" t="s">
        <v>507</v>
      </c>
      <c r="B489" t="s">
        <v>343</v>
      </c>
      <c r="C489" t="s">
        <v>14</v>
      </c>
      <c r="D489" t="s">
        <v>11</v>
      </c>
      <c r="E489" t="s">
        <v>21</v>
      </c>
    </row>
    <row r="490" spans="1:5" x14ac:dyDescent="0.25">
      <c r="A490" t="s">
        <v>508</v>
      </c>
      <c r="B490" t="s">
        <v>343</v>
      </c>
      <c r="C490" t="s">
        <v>14</v>
      </c>
      <c r="D490" t="s">
        <v>11</v>
      </c>
      <c r="E490" t="s">
        <v>24</v>
      </c>
    </row>
    <row r="491" spans="1:5" x14ac:dyDescent="0.25">
      <c r="A491" t="s">
        <v>509</v>
      </c>
      <c r="B491" t="s">
        <v>343</v>
      </c>
      <c r="C491" t="s">
        <v>7</v>
      </c>
      <c r="D491" t="s">
        <v>8</v>
      </c>
      <c r="E491" t="s">
        <v>19</v>
      </c>
    </row>
    <row r="492" spans="1:5" x14ac:dyDescent="0.25">
      <c r="A492" t="s">
        <v>510</v>
      </c>
      <c r="B492" t="s">
        <v>343</v>
      </c>
      <c r="C492" t="s">
        <v>14</v>
      </c>
      <c r="D492" t="s">
        <v>8</v>
      </c>
      <c r="E492" t="s">
        <v>24</v>
      </c>
    </row>
    <row r="493" spans="1:5" x14ac:dyDescent="0.25">
      <c r="A493" t="s">
        <v>511</v>
      </c>
      <c r="B493" t="s">
        <v>343</v>
      </c>
      <c r="C493" t="s">
        <v>14</v>
      </c>
      <c r="D493" t="s">
        <v>11</v>
      </c>
      <c r="E493" t="s">
        <v>9</v>
      </c>
    </row>
    <row r="494" spans="1:5" x14ac:dyDescent="0.25">
      <c r="A494" t="s">
        <v>512</v>
      </c>
      <c r="B494" t="s">
        <v>343</v>
      </c>
      <c r="C494" t="s">
        <v>7</v>
      </c>
      <c r="D494" t="s">
        <v>11</v>
      </c>
      <c r="E494" t="s">
        <v>12</v>
      </c>
    </row>
    <row r="495" spans="1:5" x14ac:dyDescent="0.25">
      <c r="A495" t="s">
        <v>513</v>
      </c>
      <c r="B495" t="s">
        <v>343</v>
      </c>
      <c r="C495" t="s">
        <v>14</v>
      </c>
      <c r="D495" t="s">
        <v>11</v>
      </c>
      <c r="E495" t="s">
        <v>16</v>
      </c>
    </row>
    <row r="496" spans="1:5" x14ac:dyDescent="0.25">
      <c r="A496" t="s">
        <v>514</v>
      </c>
      <c r="B496" t="s">
        <v>343</v>
      </c>
      <c r="C496" t="s">
        <v>7</v>
      </c>
      <c r="D496" t="s">
        <v>8</v>
      </c>
      <c r="E496" t="s">
        <v>9</v>
      </c>
    </row>
    <row r="497" spans="1:5" x14ac:dyDescent="0.25">
      <c r="A497" t="s">
        <v>515</v>
      </c>
      <c r="B497" t="s">
        <v>343</v>
      </c>
      <c r="C497" t="s">
        <v>14</v>
      </c>
      <c r="D497" t="s">
        <v>11</v>
      </c>
      <c r="E497" t="s">
        <v>9</v>
      </c>
    </row>
    <row r="498" spans="1:5" x14ac:dyDescent="0.25">
      <c r="A498" t="s">
        <v>516</v>
      </c>
      <c r="B498" t="s">
        <v>343</v>
      </c>
      <c r="C498" t="s">
        <v>14</v>
      </c>
      <c r="D498" t="s">
        <v>11</v>
      </c>
      <c r="E498" t="s">
        <v>16</v>
      </c>
    </row>
    <row r="499" spans="1:5" x14ac:dyDescent="0.25">
      <c r="A499" t="s">
        <v>517</v>
      </c>
      <c r="B499" t="s">
        <v>343</v>
      </c>
      <c r="C499" t="s">
        <v>14</v>
      </c>
      <c r="D499" t="s">
        <v>11</v>
      </c>
      <c r="E499" t="s">
        <v>19</v>
      </c>
    </row>
    <row r="500" spans="1:5" x14ac:dyDescent="0.25">
      <c r="A500" t="s">
        <v>518</v>
      </c>
      <c r="B500" t="s">
        <v>343</v>
      </c>
      <c r="C500" t="s">
        <v>14</v>
      </c>
      <c r="D500" t="s">
        <v>11</v>
      </c>
      <c r="E500" t="s">
        <v>16</v>
      </c>
    </row>
    <row r="501" spans="1:5" x14ac:dyDescent="0.25">
      <c r="A501" t="s">
        <v>519</v>
      </c>
      <c r="B501" t="s">
        <v>343</v>
      </c>
      <c r="C501" t="s">
        <v>14</v>
      </c>
      <c r="D501" t="s">
        <v>11</v>
      </c>
      <c r="E501" t="s">
        <v>16</v>
      </c>
    </row>
    <row r="502" spans="1:5" x14ac:dyDescent="0.25">
      <c r="A502" t="s">
        <v>520</v>
      </c>
      <c r="B502" t="s">
        <v>343</v>
      </c>
      <c r="C502" t="s">
        <v>14</v>
      </c>
      <c r="D502" t="s">
        <v>11</v>
      </c>
      <c r="E502" t="s">
        <v>19</v>
      </c>
    </row>
    <row r="503" spans="1:5" x14ac:dyDescent="0.25">
      <c r="A503" t="s">
        <v>521</v>
      </c>
      <c r="B503" t="s">
        <v>343</v>
      </c>
      <c r="C503" t="s">
        <v>7</v>
      </c>
      <c r="D503" t="s">
        <v>8</v>
      </c>
      <c r="E503" t="s">
        <v>29</v>
      </c>
    </row>
    <row r="504" spans="1:5" x14ac:dyDescent="0.25">
      <c r="A504" t="s">
        <v>522</v>
      </c>
      <c r="B504" t="s">
        <v>343</v>
      </c>
      <c r="C504" t="s">
        <v>7</v>
      </c>
      <c r="D504" t="s">
        <v>8</v>
      </c>
      <c r="E504" t="s">
        <v>19</v>
      </c>
    </row>
    <row r="505" spans="1:5" x14ac:dyDescent="0.25">
      <c r="A505" t="s">
        <v>523</v>
      </c>
      <c r="B505" t="s">
        <v>343</v>
      </c>
      <c r="C505" t="s">
        <v>7</v>
      </c>
      <c r="D505" t="s">
        <v>11</v>
      </c>
      <c r="E505" t="s">
        <v>29</v>
      </c>
    </row>
    <row r="506" spans="1:5" x14ac:dyDescent="0.25">
      <c r="A506" t="s">
        <v>524</v>
      </c>
      <c r="B506" t="s">
        <v>343</v>
      </c>
      <c r="C506" t="s">
        <v>14</v>
      </c>
      <c r="D506" t="s">
        <v>11</v>
      </c>
      <c r="E506" t="s">
        <v>16</v>
      </c>
    </row>
    <row r="507" spans="1:5" x14ac:dyDescent="0.25">
      <c r="A507" t="s">
        <v>525</v>
      </c>
      <c r="B507" t="s">
        <v>343</v>
      </c>
      <c r="C507" t="s">
        <v>14</v>
      </c>
      <c r="D507" t="s">
        <v>11</v>
      </c>
      <c r="E507" t="s">
        <v>19</v>
      </c>
    </row>
    <row r="508" spans="1:5" x14ac:dyDescent="0.25">
      <c r="A508" t="s">
        <v>526</v>
      </c>
      <c r="B508" t="s">
        <v>343</v>
      </c>
      <c r="C508" t="s">
        <v>14</v>
      </c>
      <c r="D508" t="s">
        <v>11</v>
      </c>
      <c r="E508" t="s">
        <v>26</v>
      </c>
    </row>
    <row r="509" spans="1:5" x14ac:dyDescent="0.25">
      <c r="A509" t="s">
        <v>527</v>
      </c>
      <c r="B509" t="s">
        <v>343</v>
      </c>
      <c r="C509" t="s">
        <v>14</v>
      </c>
      <c r="D509" t="s">
        <v>11</v>
      </c>
      <c r="E509" t="s">
        <v>9</v>
      </c>
    </row>
    <row r="510" spans="1:5" x14ac:dyDescent="0.25">
      <c r="A510" t="s">
        <v>528</v>
      </c>
      <c r="B510" t="s">
        <v>343</v>
      </c>
      <c r="C510" t="s">
        <v>14</v>
      </c>
      <c r="D510" t="s">
        <v>11</v>
      </c>
      <c r="E510" t="s">
        <v>24</v>
      </c>
    </row>
    <row r="511" spans="1:5" x14ac:dyDescent="0.25">
      <c r="A511" t="s">
        <v>529</v>
      </c>
      <c r="B511" t="s">
        <v>343</v>
      </c>
      <c r="C511" t="s">
        <v>14</v>
      </c>
      <c r="D511" t="s">
        <v>11</v>
      </c>
      <c r="E511" t="s">
        <v>16</v>
      </c>
    </row>
    <row r="512" spans="1:5" x14ac:dyDescent="0.25">
      <c r="A512" t="s">
        <v>530</v>
      </c>
      <c r="B512" t="s">
        <v>343</v>
      </c>
      <c r="C512" t="s">
        <v>14</v>
      </c>
      <c r="D512" t="s">
        <v>11</v>
      </c>
      <c r="E512" t="s">
        <v>29</v>
      </c>
    </row>
    <row r="513" spans="1:5" x14ac:dyDescent="0.25">
      <c r="A513" t="s">
        <v>531</v>
      </c>
      <c r="B513" t="s">
        <v>343</v>
      </c>
      <c r="C513" t="s">
        <v>14</v>
      </c>
      <c r="D513" t="s">
        <v>11</v>
      </c>
      <c r="E513" t="s">
        <v>21</v>
      </c>
    </row>
    <row r="514" spans="1:5" x14ac:dyDescent="0.25">
      <c r="A514" t="s">
        <v>532</v>
      </c>
      <c r="B514" t="s">
        <v>343</v>
      </c>
      <c r="C514" t="s">
        <v>14</v>
      </c>
      <c r="D514" t="s">
        <v>11</v>
      </c>
      <c r="E514" t="s">
        <v>16</v>
      </c>
    </row>
    <row r="515" spans="1:5" x14ac:dyDescent="0.25">
      <c r="A515" t="s">
        <v>533</v>
      </c>
      <c r="B515" t="s">
        <v>343</v>
      </c>
      <c r="C515" t="s">
        <v>7</v>
      </c>
      <c r="D515" t="s">
        <v>8</v>
      </c>
      <c r="E515" t="s">
        <v>29</v>
      </c>
    </row>
    <row r="516" spans="1:5" x14ac:dyDescent="0.25">
      <c r="A516" t="s">
        <v>534</v>
      </c>
      <c r="B516" t="s">
        <v>343</v>
      </c>
      <c r="C516" t="s">
        <v>7</v>
      </c>
      <c r="D516" t="s">
        <v>11</v>
      </c>
      <c r="E516" t="s">
        <v>12</v>
      </c>
    </row>
    <row r="517" spans="1:5" x14ac:dyDescent="0.25">
      <c r="A517" t="s">
        <v>535</v>
      </c>
      <c r="B517" t="s">
        <v>343</v>
      </c>
      <c r="C517" t="s">
        <v>7</v>
      </c>
      <c r="D517" t="s">
        <v>11</v>
      </c>
      <c r="E517" t="s">
        <v>12</v>
      </c>
    </row>
    <row r="518" spans="1:5" x14ac:dyDescent="0.25">
      <c r="A518" t="s">
        <v>536</v>
      </c>
      <c r="B518" t="s">
        <v>343</v>
      </c>
      <c r="C518" t="s">
        <v>14</v>
      </c>
      <c r="D518" t="s">
        <v>11</v>
      </c>
      <c r="E518" t="s">
        <v>16</v>
      </c>
    </row>
    <row r="519" spans="1:5" x14ac:dyDescent="0.25">
      <c r="A519" t="s">
        <v>537</v>
      </c>
      <c r="B519" t="s">
        <v>343</v>
      </c>
      <c r="C519" t="s">
        <v>14</v>
      </c>
      <c r="D519" t="s">
        <v>11</v>
      </c>
      <c r="E519" t="s">
        <v>9</v>
      </c>
    </row>
    <row r="520" spans="1:5" x14ac:dyDescent="0.25">
      <c r="A520" t="s">
        <v>538</v>
      </c>
      <c r="B520" t="s">
        <v>343</v>
      </c>
      <c r="C520" t="s">
        <v>14</v>
      </c>
      <c r="D520" t="s">
        <v>11</v>
      </c>
      <c r="E520" t="s">
        <v>29</v>
      </c>
    </row>
    <row r="521" spans="1:5" x14ac:dyDescent="0.25">
      <c r="A521" t="s">
        <v>539</v>
      </c>
      <c r="B521" t="s">
        <v>343</v>
      </c>
      <c r="C521" t="s">
        <v>14</v>
      </c>
      <c r="D521" t="s">
        <v>11</v>
      </c>
      <c r="E521" t="s">
        <v>9</v>
      </c>
    </row>
    <row r="522" spans="1:5" x14ac:dyDescent="0.25">
      <c r="A522" t="s">
        <v>540</v>
      </c>
      <c r="B522" t="s">
        <v>343</v>
      </c>
      <c r="C522" t="s">
        <v>7</v>
      </c>
      <c r="D522" t="s">
        <v>11</v>
      </c>
      <c r="E522" t="s">
        <v>9</v>
      </c>
    </row>
    <row r="523" spans="1:5" x14ac:dyDescent="0.25">
      <c r="A523" t="s">
        <v>541</v>
      </c>
      <c r="B523" t="s">
        <v>343</v>
      </c>
      <c r="C523" t="s">
        <v>7</v>
      </c>
      <c r="D523" t="s">
        <v>8</v>
      </c>
      <c r="E523" t="s">
        <v>9</v>
      </c>
    </row>
    <row r="524" spans="1:5" x14ac:dyDescent="0.25">
      <c r="A524" t="s">
        <v>542</v>
      </c>
      <c r="B524" t="s">
        <v>343</v>
      </c>
      <c r="C524" t="s">
        <v>14</v>
      </c>
      <c r="D524" t="s">
        <v>11</v>
      </c>
      <c r="E524" t="s">
        <v>16</v>
      </c>
    </row>
    <row r="525" spans="1:5" x14ac:dyDescent="0.25">
      <c r="A525" t="s">
        <v>543</v>
      </c>
      <c r="B525" t="s">
        <v>343</v>
      </c>
      <c r="C525" t="s">
        <v>7</v>
      </c>
      <c r="D525" t="s">
        <v>11</v>
      </c>
      <c r="E525" t="s">
        <v>9</v>
      </c>
    </row>
    <row r="526" spans="1:5" x14ac:dyDescent="0.25">
      <c r="A526" t="s">
        <v>544</v>
      </c>
      <c r="B526" t="s">
        <v>343</v>
      </c>
      <c r="C526" t="s">
        <v>7</v>
      </c>
      <c r="D526" t="s">
        <v>11</v>
      </c>
      <c r="E526" t="s">
        <v>9</v>
      </c>
    </row>
    <row r="527" spans="1:5" x14ac:dyDescent="0.25">
      <c r="A527" t="s">
        <v>545</v>
      </c>
      <c r="B527" t="s">
        <v>343</v>
      </c>
      <c r="C527" t="s">
        <v>14</v>
      </c>
      <c r="D527" t="s">
        <v>11</v>
      </c>
      <c r="E527" t="s">
        <v>9</v>
      </c>
    </row>
    <row r="528" spans="1:5" x14ac:dyDescent="0.25">
      <c r="A528" t="s">
        <v>546</v>
      </c>
      <c r="B528" t="s">
        <v>343</v>
      </c>
      <c r="C528" t="s">
        <v>7</v>
      </c>
      <c r="D528" t="s">
        <v>11</v>
      </c>
      <c r="E528" t="s">
        <v>9</v>
      </c>
    </row>
    <row r="529" spans="1:5" x14ac:dyDescent="0.25">
      <c r="A529" t="s">
        <v>547</v>
      </c>
      <c r="B529" t="s">
        <v>343</v>
      </c>
      <c r="C529" t="s">
        <v>14</v>
      </c>
      <c r="D529" t="s">
        <v>11</v>
      </c>
      <c r="E529" t="s">
        <v>9</v>
      </c>
    </row>
    <row r="530" spans="1:5" x14ac:dyDescent="0.25">
      <c r="A530" t="s">
        <v>548</v>
      </c>
      <c r="B530" t="s">
        <v>343</v>
      </c>
      <c r="C530" t="s">
        <v>14</v>
      </c>
      <c r="D530" t="s">
        <v>11</v>
      </c>
      <c r="E530" t="s">
        <v>9</v>
      </c>
    </row>
    <row r="531" spans="1:5" x14ac:dyDescent="0.25">
      <c r="A531" t="s">
        <v>549</v>
      </c>
      <c r="B531" t="s">
        <v>343</v>
      </c>
      <c r="C531" t="s">
        <v>7</v>
      </c>
      <c r="D531" t="s">
        <v>8</v>
      </c>
      <c r="E531" t="s">
        <v>24</v>
      </c>
    </row>
    <row r="532" spans="1:5" x14ac:dyDescent="0.25">
      <c r="A532" t="s">
        <v>550</v>
      </c>
      <c r="B532" t="s">
        <v>343</v>
      </c>
      <c r="C532" t="s">
        <v>14</v>
      </c>
      <c r="D532" t="s">
        <v>11</v>
      </c>
      <c r="E532" t="s">
        <v>29</v>
      </c>
    </row>
    <row r="533" spans="1:5" x14ac:dyDescent="0.25">
      <c r="A533" t="s">
        <v>551</v>
      </c>
      <c r="B533" t="s">
        <v>343</v>
      </c>
      <c r="C533" t="s">
        <v>14</v>
      </c>
      <c r="D533" t="s">
        <v>11</v>
      </c>
      <c r="E533" t="s">
        <v>9</v>
      </c>
    </row>
    <row r="534" spans="1:5" x14ac:dyDescent="0.25">
      <c r="A534" t="s">
        <v>552</v>
      </c>
      <c r="B534" t="s">
        <v>343</v>
      </c>
      <c r="C534" t="s">
        <v>14</v>
      </c>
      <c r="D534" t="s">
        <v>11</v>
      </c>
      <c r="E534" t="s">
        <v>19</v>
      </c>
    </row>
    <row r="535" spans="1:5" x14ac:dyDescent="0.25">
      <c r="A535" t="s">
        <v>553</v>
      </c>
      <c r="B535" t="s">
        <v>343</v>
      </c>
      <c r="C535" t="s">
        <v>7</v>
      </c>
      <c r="D535" t="s">
        <v>8</v>
      </c>
      <c r="E535" t="s">
        <v>9</v>
      </c>
    </row>
    <row r="536" spans="1:5" x14ac:dyDescent="0.25">
      <c r="A536" t="s">
        <v>554</v>
      </c>
      <c r="B536" t="s">
        <v>343</v>
      </c>
      <c r="C536" t="s">
        <v>7</v>
      </c>
      <c r="D536" t="s">
        <v>8</v>
      </c>
      <c r="E536" t="s">
        <v>29</v>
      </c>
    </row>
    <row r="537" spans="1:5" x14ac:dyDescent="0.25">
      <c r="A537" t="s">
        <v>555</v>
      </c>
      <c r="B537" t="s">
        <v>343</v>
      </c>
      <c r="C537" t="s">
        <v>14</v>
      </c>
      <c r="D537" t="s">
        <v>11</v>
      </c>
      <c r="E537" t="s">
        <v>19</v>
      </c>
    </row>
    <row r="538" spans="1:5" x14ac:dyDescent="0.25">
      <c r="A538" t="s">
        <v>556</v>
      </c>
      <c r="B538" t="s">
        <v>343</v>
      </c>
      <c r="C538" t="s">
        <v>7</v>
      </c>
      <c r="D538" t="s">
        <v>8</v>
      </c>
      <c r="E538" t="s">
        <v>16</v>
      </c>
    </row>
    <row r="539" spans="1:5" x14ac:dyDescent="0.25">
      <c r="A539" t="s">
        <v>557</v>
      </c>
      <c r="B539" t="s">
        <v>343</v>
      </c>
      <c r="C539" t="s">
        <v>14</v>
      </c>
      <c r="D539" t="s">
        <v>11</v>
      </c>
      <c r="E539" t="s">
        <v>16</v>
      </c>
    </row>
    <row r="540" spans="1:5" x14ac:dyDescent="0.25">
      <c r="A540" t="s">
        <v>558</v>
      </c>
      <c r="B540" t="s">
        <v>343</v>
      </c>
      <c r="C540" t="s">
        <v>7</v>
      </c>
      <c r="D540" t="s">
        <v>11</v>
      </c>
      <c r="E540" t="s">
        <v>16</v>
      </c>
    </row>
    <row r="541" spans="1:5" x14ac:dyDescent="0.25">
      <c r="A541" t="s">
        <v>559</v>
      </c>
      <c r="B541" t="s">
        <v>343</v>
      </c>
      <c r="C541" t="s">
        <v>14</v>
      </c>
      <c r="D541" t="s">
        <v>11</v>
      </c>
      <c r="E541" t="s">
        <v>9</v>
      </c>
    </row>
    <row r="542" spans="1:5" x14ac:dyDescent="0.25">
      <c r="A542" t="s">
        <v>560</v>
      </c>
      <c r="B542" t="s">
        <v>343</v>
      </c>
      <c r="C542" t="s">
        <v>7</v>
      </c>
      <c r="D542" t="s">
        <v>8</v>
      </c>
      <c r="E542" t="s">
        <v>12</v>
      </c>
    </row>
    <row r="543" spans="1:5" x14ac:dyDescent="0.25">
      <c r="A543" t="s">
        <v>561</v>
      </c>
      <c r="B543" t="s">
        <v>343</v>
      </c>
      <c r="C543" t="s">
        <v>7</v>
      </c>
      <c r="D543" t="s">
        <v>8</v>
      </c>
      <c r="E543" t="s">
        <v>12</v>
      </c>
    </row>
    <row r="544" spans="1:5" x14ac:dyDescent="0.25">
      <c r="A544" t="s">
        <v>562</v>
      </c>
      <c r="B544" t="s">
        <v>343</v>
      </c>
      <c r="C544" t="s">
        <v>7</v>
      </c>
      <c r="D544" t="s">
        <v>8</v>
      </c>
      <c r="E544" t="s">
        <v>16</v>
      </c>
    </row>
    <row r="545" spans="1:5" x14ac:dyDescent="0.25">
      <c r="A545" t="s">
        <v>563</v>
      </c>
      <c r="B545" t="s">
        <v>343</v>
      </c>
      <c r="C545" t="s">
        <v>14</v>
      </c>
      <c r="D545" t="s">
        <v>11</v>
      </c>
      <c r="E545" t="s">
        <v>16</v>
      </c>
    </row>
    <row r="546" spans="1:5" x14ac:dyDescent="0.25">
      <c r="A546" t="s">
        <v>564</v>
      </c>
      <c r="B546" t="s">
        <v>343</v>
      </c>
      <c r="C546" t="s">
        <v>14</v>
      </c>
      <c r="D546" t="s">
        <v>11</v>
      </c>
      <c r="E546" t="s">
        <v>16</v>
      </c>
    </row>
    <row r="547" spans="1:5" x14ac:dyDescent="0.25">
      <c r="A547" t="s">
        <v>565</v>
      </c>
      <c r="B547" t="s">
        <v>343</v>
      </c>
      <c r="C547" t="s">
        <v>7</v>
      </c>
      <c r="D547" t="s">
        <v>8</v>
      </c>
      <c r="E547" t="s">
        <v>16</v>
      </c>
    </row>
    <row r="548" spans="1:5" x14ac:dyDescent="0.25">
      <c r="A548" t="s">
        <v>566</v>
      </c>
      <c r="B548" t="s">
        <v>343</v>
      </c>
      <c r="C548" t="s">
        <v>7</v>
      </c>
      <c r="D548" t="s">
        <v>8</v>
      </c>
      <c r="E548" t="s">
        <v>9</v>
      </c>
    </row>
    <row r="549" spans="1:5" x14ac:dyDescent="0.25">
      <c r="A549" t="s">
        <v>567</v>
      </c>
      <c r="B549" t="s">
        <v>343</v>
      </c>
      <c r="C549" t="s">
        <v>14</v>
      </c>
      <c r="D549" t="s">
        <v>11</v>
      </c>
      <c r="E549" t="s">
        <v>9</v>
      </c>
    </row>
    <row r="550" spans="1:5" x14ac:dyDescent="0.25">
      <c r="A550" t="s">
        <v>568</v>
      </c>
      <c r="B550" t="s">
        <v>343</v>
      </c>
      <c r="C550" t="s">
        <v>7</v>
      </c>
      <c r="D550" t="s">
        <v>11</v>
      </c>
      <c r="E550" t="s">
        <v>12</v>
      </c>
    </row>
    <row r="551" spans="1:5" x14ac:dyDescent="0.25">
      <c r="A551" t="s">
        <v>569</v>
      </c>
      <c r="B551" t="s">
        <v>343</v>
      </c>
      <c r="C551" t="s">
        <v>7</v>
      </c>
      <c r="D551" t="s">
        <v>11</v>
      </c>
      <c r="E551" t="s">
        <v>12</v>
      </c>
    </row>
    <row r="552" spans="1:5" x14ac:dyDescent="0.25">
      <c r="A552" t="s">
        <v>570</v>
      </c>
      <c r="B552" t="s">
        <v>343</v>
      </c>
      <c r="C552" t="s">
        <v>7</v>
      </c>
      <c r="D552" t="s">
        <v>8</v>
      </c>
      <c r="E552" t="s">
        <v>9</v>
      </c>
    </row>
    <row r="553" spans="1:5" x14ac:dyDescent="0.25">
      <c r="A553" t="s">
        <v>571</v>
      </c>
      <c r="B553" t="s">
        <v>343</v>
      </c>
      <c r="C553" t="s">
        <v>7</v>
      </c>
      <c r="D553" t="s">
        <v>8</v>
      </c>
      <c r="E553" t="s">
        <v>24</v>
      </c>
    </row>
    <row r="554" spans="1:5" x14ac:dyDescent="0.25">
      <c r="A554" t="s">
        <v>572</v>
      </c>
      <c r="B554" t="s">
        <v>343</v>
      </c>
      <c r="C554" t="s">
        <v>14</v>
      </c>
      <c r="D554" t="s">
        <v>11</v>
      </c>
      <c r="E554" t="s">
        <v>29</v>
      </c>
    </row>
    <row r="555" spans="1:5" x14ac:dyDescent="0.25">
      <c r="A555" t="s">
        <v>573</v>
      </c>
      <c r="B555" t="s">
        <v>343</v>
      </c>
      <c r="C555" t="s">
        <v>7</v>
      </c>
      <c r="D555" t="s">
        <v>8</v>
      </c>
      <c r="E555" t="s">
        <v>9</v>
      </c>
    </row>
    <row r="556" spans="1:5" x14ac:dyDescent="0.25">
      <c r="A556" t="s">
        <v>574</v>
      </c>
      <c r="B556" t="s">
        <v>343</v>
      </c>
      <c r="C556" t="s">
        <v>14</v>
      </c>
      <c r="D556" t="s">
        <v>11</v>
      </c>
      <c r="E556" t="s">
        <v>9</v>
      </c>
    </row>
    <row r="557" spans="1:5" x14ac:dyDescent="0.25">
      <c r="A557" t="s">
        <v>575</v>
      </c>
      <c r="B557" t="s">
        <v>343</v>
      </c>
      <c r="C557" t="s">
        <v>14</v>
      </c>
      <c r="D557" t="s">
        <v>11</v>
      </c>
      <c r="E557" t="s">
        <v>9</v>
      </c>
    </row>
    <row r="558" spans="1:5" x14ac:dyDescent="0.25">
      <c r="A558" t="s">
        <v>576</v>
      </c>
      <c r="B558" t="s">
        <v>343</v>
      </c>
      <c r="C558" t="s">
        <v>14</v>
      </c>
      <c r="D558" t="s">
        <v>11</v>
      </c>
      <c r="E558" t="s">
        <v>9</v>
      </c>
    </row>
    <row r="559" spans="1:5" x14ac:dyDescent="0.25">
      <c r="A559" t="s">
        <v>577</v>
      </c>
      <c r="B559" t="s">
        <v>343</v>
      </c>
      <c r="C559" t="s">
        <v>7</v>
      </c>
      <c r="D559" t="s">
        <v>8</v>
      </c>
      <c r="E559" t="s">
        <v>9</v>
      </c>
    </row>
    <row r="560" spans="1:5" x14ac:dyDescent="0.25">
      <c r="A560" t="s">
        <v>578</v>
      </c>
      <c r="B560" t="s">
        <v>343</v>
      </c>
      <c r="C560" t="s">
        <v>7</v>
      </c>
      <c r="D560" t="s">
        <v>8</v>
      </c>
      <c r="E560" t="s">
        <v>29</v>
      </c>
    </row>
    <row r="561" spans="1:5" x14ac:dyDescent="0.25">
      <c r="A561" t="s">
        <v>579</v>
      </c>
      <c r="B561" t="s">
        <v>343</v>
      </c>
      <c r="C561" t="s">
        <v>7</v>
      </c>
      <c r="D561" t="s">
        <v>8</v>
      </c>
      <c r="E561" t="s">
        <v>9</v>
      </c>
    </row>
    <row r="562" spans="1:5" x14ac:dyDescent="0.25">
      <c r="A562" t="s">
        <v>580</v>
      </c>
      <c r="B562" t="s">
        <v>343</v>
      </c>
      <c r="C562" t="s">
        <v>7</v>
      </c>
      <c r="D562" t="s">
        <v>8</v>
      </c>
      <c r="E562" t="s">
        <v>16</v>
      </c>
    </row>
    <row r="563" spans="1:5" x14ac:dyDescent="0.25">
      <c r="A563" t="s">
        <v>581</v>
      </c>
      <c r="B563" t="s">
        <v>343</v>
      </c>
      <c r="C563" t="s">
        <v>14</v>
      </c>
      <c r="D563" t="s">
        <v>11</v>
      </c>
      <c r="E563" t="s">
        <v>24</v>
      </c>
    </row>
    <row r="564" spans="1:5" x14ac:dyDescent="0.25">
      <c r="A564" t="s">
        <v>582</v>
      </c>
      <c r="B564" t="s">
        <v>343</v>
      </c>
      <c r="C564" t="s">
        <v>7</v>
      </c>
      <c r="D564" t="s">
        <v>8</v>
      </c>
      <c r="E564" t="s">
        <v>16</v>
      </c>
    </row>
    <row r="565" spans="1:5" x14ac:dyDescent="0.25">
      <c r="A565" t="s">
        <v>583</v>
      </c>
      <c r="B565" t="s">
        <v>343</v>
      </c>
      <c r="C565" t="s">
        <v>14</v>
      </c>
      <c r="D565" t="s">
        <v>11</v>
      </c>
      <c r="E565" t="s">
        <v>16</v>
      </c>
    </row>
    <row r="566" spans="1:5" x14ac:dyDescent="0.25">
      <c r="A566" t="s">
        <v>584</v>
      </c>
      <c r="B566" t="s">
        <v>343</v>
      </c>
      <c r="C566" t="s">
        <v>7</v>
      </c>
      <c r="D566" t="s">
        <v>8</v>
      </c>
      <c r="E566" t="s">
        <v>19</v>
      </c>
    </row>
    <row r="567" spans="1:5" x14ac:dyDescent="0.25">
      <c r="A567" t="s">
        <v>585</v>
      </c>
      <c r="B567" t="s">
        <v>343</v>
      </c>
      <c r="C567" t="s">
        <v>14</v>
      </c>
      <c r="D567" t="s">
        <v>11</v>
      </c>
      <c r="E567" t="s">
        <v>9</v>
      </c>
    </row>
    <row r="568" spans="1:5" x14ac:dyDescent="0.25">
      <c r="A568" t="s">
        <v>586</v>
      </c>
      <c r="B568" t="s">
        <v>343</v>
      </c>
      <c r="C568" t="s">
        <v>14</v>
      </c>
      <c r="D568" t="s">
        <v>11</v>
      </c>
      <c r="E568" t="s">
        <v>19</v>
      </c>
    </row>
    <row r="569" spans="1:5" x14ac:dyDescent="0.25">
      <c r="A569" t="s">
        <v>587</v>
      </c>
      <c r="B569" t="s">
        <v>343</v>
      </c>
      <c r="C569" t="s">
        <v>14</v>
      </c>
      <c r="D569" t="s">
        <v>11</v>
      </c>
      <c r="E569" t="s">
        <v>9</v>
      </c>
    </row>
    <row r="570" spans="1:5" x14ac:dyDescent="0.25">
      <c r="A570" t="s">
        <v>588</v>
      </c>
      <c r="B570" t="s">
        <v>343</v>
      </c>
      <c r="C570" t="s">
        <v>14</v>
      </c>
      <c r="D570" t="s">
        <v>11</v>
      </c>
      <c r="E570" t="s">
        <v>29</v>
      </c>
    </row>
    <row r="571" spans="1:5" x14ac:dyDescent="0.25">
      <c r="A571" t="s">
        <v>589</v>
      </c>
      <c r="B571" t="s">
        <v>343</v>
      </c>
      <c r="C571" t="s">
        <v>14</v>
      </c>
      <c r="D571" t="s">
        <v>11</v>
      </c>
      <c r="E571" t="s">
        <v>29</v>
      </c>
    </row>
    <row r="572" spans="1:5" x14ac:dyDescent="0.25">
      <c r="A572" t="s">
        <v>590</v>
      </c>
      <c r="B572" t="s">
        <v>343</v>
      </c>
      <c r="C572" t="s">
        <v>7</v>
      </c>
      <c r="D572" t="s">
        <v>8</v>
      </c>
      <c r="E572" t="s">
        <v>24</v>
      </c>
    </row>
    <row r="573" spans="1:5" x14ac:dyDescent="0.25">
      <c r="A573" t="s">
        <v>591</v>
      </c>
      <c r="B573" t="s">
        <v>343</v>
      </c>
      <c r="C573" t="s">
        <v>14</v>
      </c>
      <c r="D573" t="s">
        <v>11</v>
      </c>
      <c r="E573" t="s">
        <v>9</v>
      </c>
    </row>
    <row r="574" spans="1:5" x14ac:dyDescent="0.25">
      <c r="A574" t="s">
        <v>592</v>
      </c>
      <c r="B574" t="s">
        <v>343</v>
      </c>
      <c r="C574" t="s">
        <v>7</v>
      </c>
      <c r="D574" t="s">
        <v>8</v>
      </c>
      <c r="E574" t="s">
        <v>9</v>
      </c>
    </row>
    <row r="575" spans="1:5" x14ac:dyDescent="0.25">
      <c r="A575" t="s">
        <v>593</v>
      </c>
      <c r="B575" t="s">
        <v>343</v>
      </c>
      <c r="C575" t="s">
        <v>7</v>
      </c>
      <c r="D575" t="s">
        <v>8</v>
      </c>
      <c r="E575" t="s">
        <v>9</v>
      </c>
    </row>
    <row r="576" spans="1:5" x14ac:dyDescent="0.25">
      <c r="A576" t="s">
        <v>594</v>
      </c>
      <c r="B576" t="s">
        <v>343</v>
      </c>
      <c r="C576" t="s">
        <v>14</v>
      </c>
      <c r="D576" t="s">
        <v>11</v>
      </c>
      <c r="E576" t="s">
        <v>9</v>
      </c>
    </row>
    <row r="577" spans="1:5" x14ac:dyDescent="0.25">
      <c r="A577" t="s">
        <v>595</v>
      </c>
      <c r="B577" t="s">
        <v>343</v>
      </c>
      <c r="C577" t="s">
        <v>14</v>
      </c>
      <c r="D577" t="s">
        <v>8</v>
      </c>
      <c r="E577" t="s">
        <v>9</v>
      </c>
    </row>
    <row r="578" spans="1:5" x14ac:dyDescent="0.25">
      <c r="A578" t="s">
        <v>596</v>
      </c>
      <c r="B578" t="s">
        <v>343</v>
      </c>
      <c r="C578" t="s">
        <v>14</v>
      </c>
      <c r="D578" t="s">
        <v>11</v>
      </c>
      <c r="E578" t="s">
        <v>19</v>
      </c>
    </row>
    <row r="579" spans="1:5" x14ac:dyDescent="0.25">
      <c r="A579" t="s">
        <v>597</v>
      </c>
      <c r="B579" t="s">
        <v>343</v>
      </c>
      <c r="C579" t="s">
        <v>7</v>
      </c>
      <c r="D579" t="s">
        <v>8</v>
      </c>
      <c r="E579" t="s">
        <v>16</v>
      </c>
    </row>
    <row r="580" spans="1:5" x14ac:dyDescent="0.25">
      <c r="A580" t="s">
        <v>598</v>
      </c>
      <c r="B580" t="s">
        <v>343</v>
      </c>
      <c r="C580" t="s">
        <v>14</v>
      </c>
      <c r="D580" t="s">
        <v>11</v>
      </c>
      <c r="E580" t="s">
        <v>16</v>
      </c>
    </row>
    <row r="581" spans="1:5" x14ac:dyDescent="0.25">
      <c r="A581" t="s">
        <v>599</v>
      </c>
      <c r="B581" t="s">
        <v>343</v>
      </c>
      <c r="C581" t="s">
        <v>14</v>
      </c>
      <c r="D581" t="s">
        <v>11</v>
      </c>
      <c r="E581" t="s">
        <v>9</v>
      </c>
    </row>
    <row r="582" spans="1:5" x14ac:dyDescent="0.25">
      <c r="A582" t="s">
        <v>600</v>
      </c>
      <c r="B582" t="s">
        <v>343</v>
      </c>
      <c r="C582" t="s">
        <v>7</v>
      </c>
      <c r="D582" t="s">
        <v>8</v>
      </c>
      <c r="E582" t="s">
        <v>16</v>
      </c>
    </row>
    <row r="583" spans="1:5" x14ac:dyDescent="0.25">
      <c r="A583" t="s">
        <v>601</v>
      </c>
      <c r="B583" t="s">
        <v>343</v>
      </c>
      <c r="C583" t="s">
        <v>14</v>
      </c>
      <c r="D583" t="s">
        <v>11</v>
      </c>
      <c r="E583" t="s">
        <v>9</v>
      </c>
    </row>
    <row r="584" spans="1:5" x14ac:dyDescent="0.25">
      <c r="A584" t="s">
        <v>602</v>
      </c>
      <c r="B584" t="s">
        <v>343</v>
      </c>
      <c r="C584" t="s">
        <v>7</v>
      </c>
      <c r="D584" t="s">
        <v>8</v>
      </c>
      <c r="E584" t="s">
        <v>29</v>
      </c>
    </row>
    <row r="585" spans="1:5" x14ac:dyDescent="0.25">
      <c r="A585" t="s">
        <v>603</v>
      </c>
      <c r="B585" t="s">
        <v>343</v>
      </c>
      <c r="C585" t="s">
        <v>7</v>
      </c>
      <c r="D585" t="s">
        <v>8</v>
      </c>
      <c r="E585" t="s">
        <v>19</v>
      </c>
    </row>
    <row r="586" spans="1:5" x14ac:dyDescent="0.25">
      <c r="A586" t="s">
        <v>604</v>
      </c>
      <c r="B586" t="s">
        <v>343</v>
      </c>
      <c r="C586" t="s">
        <v>7</v>
      </c>
      <c r="D586" t="s">
        <v>8</v>
      </c>
      <c r="E586" t="s">
        <v>16</v>
      </c>
    </row>
    <row r="587" spans="1:5" x14ac:dyDescent="0.25">
      <c r="A587" t="s">
        <v>605</v>
      </c>
      <c r="B587" t="s">
        <v>343</v>
      </c>
      <c r="C587" t="s">
        <v>14</v>
      </c>
      <c r="D587" t="s">
        <v>11</v>
      </c>
      <c r="E587" t="s">
        <v>9</v>
      </c>
    </row>
    <row r="588" spans="1:5" x14ac:dyDescent="0.25">
      <c r="A588" t="s">
        <v>606</v>
      </c>
      <c r="B588" t="s">
        <v>343</v>
      </c>
      <c r="C588" t="s">
        <v>7</v>
      </c>
      <c r="D588" t="s">
        <v>8</v>
      </c>
      <c r="E588" t="s">
        <v>9</v>
      </c>
    </row>
    <row r="589" spans="1:5" x14ac:dyDescent="0.25">
      <c r="A589" t="s">
        <v>607</v>
      </c>
      <c r="B589" t="s">
        <v>343</v>
      </c>
      <c r="C589" t="s">
        <v>7</v>
      </c>
      <c r="D589" t="s">
        <v>11</v>
      </c>
      <c r="E589" t="s">
        <v>12</v>
      </c>
    </row>
    <row r="590" spans="1:5" x14ac:dyDescent="0.25">
      <c r="A590" t="s">
        <v>608</v>
      </c>
      <c r="B590" t="s">
        <v>343</v>
      </c>
      <c r="C590" t="s">
        <v>7</v>
      </c>
      <c r="D590" t="s">
        <v>8</v>
      </c>
      <c r="E590" t="s">
        <v>12</v>
      </c>
    </row>
    <row r="591" spans="1:5" x14ac:dyDescent="0.25">
      <c r="A591" t="s">
        <v>609</v>
      </c>
      <c r="B591" t="s">
        <v>343</v>
      </c>
      <c r="C591" t="s">
        <v>7</v>
      </c>
      <c r="D591" t="s">
        <v>8</v>
      </c>
      <c r="E591" t="s">
        <v>9</v>
      </c>
    </row>
    <row r="592" spans="1:5" x14ac:dyDescent="0.25">
      <c r="A592" t="s">
        <v>610</v>
      </c>
      <c r="B592" t="s">
        <v>343</v>
      </c>
      <c r="C592" t="s">
        <v>7</v>
      </c>
      <c r="D592" t="s">
        <v>8</v>
      </c>
      <c r="E592" t="s">
        <v>12</v>
      </c>
    </row>
    <row r="593" spans="1:5" x14ac:dyDescent="0.25">
      <c r="A593" t="s">
        <v>611</v>
      </c>
      <c r="B593" t="s">
        <v>343</v>
      </c>
      <c r="C593" t="s">
        <v>7</v>
      </c>
      <c r="D593" t="s">
        <v>8</v>
      </c>
      <c r="E593" t="s">
        <v>12</v>
      </c>
    </row>
    <row r="594" spans="1:5" x14ac:dyDescent="0.25">
      <c r="A594" t="s">
        <v>612</v>
      </c>
      <c r="B594" t="s">
        <v>343</v>
      </c>
      <c r="C594" t="s">
        <v>14</v>
      </c>
      <c r="D594" t="s">
        <v>11</v>
      </c>
      <c r="E594" t="s">
        <v>16</v>
      </c>
    </row>
    <row r="595" spans="1:5" x14ac:dyDescent="0.25">
      <c r="A595" t="s">
        <v>613</v>
      </c>
      <c r="B595" t="s">
        <v>343</v>
      </c>
      <c r="C595" t="s">
        <v>7</v>
      </c>
      <c r="D595" t="s">
        <v>8</v>
      </c>
      <c r="E595" t="s">
        <v>16</v>
      </c>
    </row>
    <row r="596" spans="1:5" x14ac:dyDescent="0.25">
      <c r="A596" t="s">
        <v>614</v>
      </c>
      <c r="B596" t="s">
        <v>343</v>
      </c>
      <c r="C596" t="s">
        <v>14</v>
      </c>
      <c r="D596" t="s">
        <v>11</v>
      </c>
      <c r="E596" t="s">
        <v>21</v>
      </c>
    </row>
    <row r="597" spans="1:5" x14ac:dyDescent="0.25">
      <c r="A597" t="s">
        <v>615</v>
      </c>
      <c r="B597" t="s">
        <v>343</v>
      </c>
      <c r="C597" t="s">
        <v>14</v>
      </c>
      <c r="D597" t="s">
        <v>11</v>
      </c>
      <c r="E597" t="s">
        <v>9</v>
      </c>
    </row>
    <row r="598" spans="1:5" x14ac:dyDescent="0.25">
      <c r="A598" t="s">
        <v>616</v>
      </c>
      <c r="B598" t="s">
        <v>343</v>
      </c>
      <c r="C598" t="s">
        <v>7</v>
      </c>
      <c r="D598" t="s">
        <v>11</v>
      </c>
      <c r="E598" t="s">
        <v>16</v>
      </c>
    </row>
    <row r="599" spans="1:5" x14ac:dyDescent="0.25">
      <c r="A599" t="s">
        <v>617</v>
      </c>
      <c r="B599" t="s">
        <v>343</v>
      </c>
      <c r="C599" t="s">
        <v>7</v>
      </c>
      <c r="D599" t="s">
        <v>11</v>
      </c>
      <c r="E599" t="s">
        <v>9</v>
      </c>
    </row>
    <row r="600" spans="1:5" x14ac:dyDescent="0.25">
      <c r="A600" t="s">
        <v>618</v>
      </c>
      <c r="B600" t="s">
        <v>343</v>
      </c>
      <c r="C600" t="s">
        <v>7</v>
      </c>
      <c r="D600" t="s">
        <v>8</v>
      </c>
      <c r="E600" t="s">
        <v>9</v>
      </c>
    </row>
    <row r="601" spans="1:5" x14ac:dyDescent="0.25">
      <c r="A601" t="s">
        <v>619</v>
      </c>
      <c r="B601" t="s">
        <v>343</v>
      </c>
      <c r="C601" t="s">
        <v>14</v>
      </c>
      <c r="D601" t="s">
        <v>8</v>
      </c>
      <c r="E601" t="s">
        <v>9</v>
      </c>
    </row>
    <row r="602" spans="1:5" x14ac:dyDescent="0.25">
      <c r="A602" t="s">
        <v>620</v>
      </c>
      <c r="B602" t="s">
        <v>621</v>
      </c>
      <c r="C602" t="s">
        <v>14</v>
      </c>
      <c r="D602" t="s">
        <v>11</v>
      </c>
      <c r="E602" t="s">
        <v>19</v>
      </c>
    </row>
    <row r="603" spans="1:5" x14ac:dyDescent="0.25">
      <c r="A603" t="s">
        <v>622</v>
      </c>
      <c r="B603" t="s">
        <v>621</v>
      </c>
      <c r="C603" t="s">
        <v>14</v>
      </c>
      <c r="D603" t="s">
        <v>11</v>
      </c>
      <c r="E603" t="s">
        <v>29</v>
      </c>
    </row>
    <row r="604" spans="1:5" x14ac:dyDescent="0.25">
      <c r="A604" t="s">
        <v>623</v>
      </c>
      <c r="B604" t="s">
        <v>621</v>
      </c>
      <c r="C604" t="s">
        <v>14</v>
      </c>
      <c r="D604" t="s">
        <v>11</v>
      </c>
      <c r="E604" t="s">
        <v>29</v>
      </c>
    </row>
    <row r="605" spans="1:5" x14ac:dyDescent="0.25">
      <c r="A605" t="s">
        <v>624</v>
      </c>
      <c r="B605" t="s">
        <v>621</v>
      </c>
      <c r="C605" t="s">
        <v>7</v>
      </c>
      <c r="D605" t="s">
        <v>8</v>
      </c>
      <c r="E605" t="s">
        <v>16</v>
      </c>
    </row>
    <row r="606" spans="1:5" x14ac:dyDescent="0.25">
      <c r="A606" t="s">
        <v>625</v>
      </c>
      <c r="B606" t="s">
        <v>621</v>
      </c>
      <c r="C606" t="s">
        <v>7</v>
      </c>
      <c r="D606" t="s">
        <v>8</v>
      </c>
      <c r="E606" t="s">
        <v>29</v>
      </c>
    </row>
    <row r="607" spans="1:5" x14ac:dyDescent="0.25">
      <c r="A607" t="s">
        <v>626</v>
      </c>
      <c r="B607" t="s">
        <v>621</v>
      </c>
      <c r="C607" t="s">
        <v>7</v>
      </c>
      <c r="D607" t="s">
        <v>11</v>
      </c>
      <c r="E607" t="s">
        <v>9</v>
      </c>
    </row>
    <row r="608" spans="1:5" x14ac:dyDescent="0.25">
      <c r="A608" t="s">
        <v>627</v>
      </c>
      <c r="B608" t="s">
        <v>621</v>
      </c>
      <c r="C608" t="s">
        <v>7</v>
      </c>
      <c r="D608" t="s">
        <v>11</v>
      </c>
      <c r="E608" t="s">
        <v>9</v>
      </c>
    </row>
    <row r="609" spans="1:5" x14ac:dyDescent="0.25">
      <c r="A609" t="s">
        <v>628</v>
      </c>
      <c r="B609" t="s">
        <v>621</v>
      </c>
      <c r="C609" t="s">
        <v>7</v>
      </c>
      <c r="D609" t="s">
        <v>8</v>
      </c>
      <c r="E609" t="s">
        <v>29</v>
      </c>
    </row>
    <row r="610" spans="1:5" x14ac:dyDescent="0.25">
      <c r="A610" t="s">
        <v>629</v>
      </c>
      <c r="B610" t="s">
        <v>621</v>
      </c>
      <c r="C610" t="s">
        <v>14</v>
      </c>
      <c r="D610" t="s">
        <v>11</v>
      </c>
      <c r="E610" t="s">
        <v>16</v>
      </c>
    </row>
    <row r="611" spans="1:5" x14ac:dyDescent="0.25">
      <c r="A611" t="s">
        <v>630</v>
      </c>
      <c r="B611" t="s">
        <v>621</v>
      </c>
      <c r="C611" t="s">
        <v>14</v>
      </c>
      <c r="D611" t="s">
        <v>11</v>
      </c>
      <c r="E611" t="s">
        <v>9</v>
      </c>
    </row>
    <row r="612" spans="1:5" x14ac:dyDescent="0.25">
      <c r="A612" t="s">
        <v>631</v>
      </c>
      <c r="B612" t="s">
        <v>621</v>
      </c>
      <c r="C612" t="s">
        <v>14</v>
      </c>
      <c r="D612" t="s">
        <v>8</v>
      </c>
      <c r="E612" t="s">
        <v>19</v>
      </c>
    </row>
    <row r="613" spans="1:5" x14ac:dyDescent="0.25">
      <c r="A613" t="s">
        <v>632</v>
      </c>
      <c r="B613" t="s">
        <v>621</v>
      </c>
      <c r="C613" t="s">
        <v>7</v>
      </c>
      <c r="D613" t="s">
        <v>11</v>
      </c>
      <c r="E613" t="s">
        <v>12</v>
      </c>
    </row>
    <row r="614" spans="1:5" x14ac:dyDescent="0.25">
      <c r="A614" t="s">
        <v>633</v>
      </c>
      <c r="B614" t="s">
        <v>621</v>
      </c>
      <c r="C614" t="s">
        <v>7</v>
      </c>
      <c r="D614" t="s">
        <v>8</v>
      </c>
      <c r="E614" t="s">
        <v>29</v>
      </c>
    </row>
    <row r="615" spans="1:5" x14ac:dyDescent="0.25">
      <c r="A615" t="s">
        <v>634</v>
      </c>
      <c r="B615" t="s">
        <v>621</v>
      </c>
      <c r="C615" t="s">
        <v>7</v>
      </c>
      <c r="D615" t="s">
        <v>11</v>
      </c>
      <c r="E615" t="s">
        <v>9</v>
      </c>
    </row>
    <row r="616" spans="1:5" x14ac:dyDescent="0.25">
      <c r="A616" t="s">
        <v>635</v>
      </c>
      <c r="B616" t="s">
        <v>621</v>
      </c>
      <c r="C616" t="s">
        <v>14</v>
      </c>
      <c r="D616" t="s">
        <v>11</v>
      </c>
      <c r="E616" t="s">
        <v>9</v>
      </c>
    </row>
    <row r="617" spans="1:5" x14ac:dyDescent="0.25">
      <c r="A617" t="s">
        <v>636</v>
      </c>
      <c r="B617" t="s">
        <v>621</v>
      </c>
      <c r="C617" t="s">
        <v>14</v>
      </c>
      <c r="D617" t="s">
        <v>11</v>
      </c>
      <c r="E617" t="s">
        <v>9</v>
      </c>
    </row>
    <row r="618" spans="1:5" x14ac:dyDescent="0.25">
      <c r="A618" t="s">
        <v>637</v>
      </c>
      <c r="B618" t="s">
        <v>621</v>
      </c>
      <c r="C618" t="s">
        <v>14</v>
      </c>
      <c r="D618" t="s">
        <v>11</v>
      </c>
      <c r="E618" t="s">
        <v>9</v>
      </c>
    </row>
    <row r="619" spans="1:5" x14ac:dyDescent="0.25">
      <c r="A619" t="s">
        <v>638</v>
      </c>
      <c r="B619" t="s">
        <v>621</v>
      </c>
      <c r="C619" t="s">
        <v>14</v>
      </c>
      <c r="D619" t="s">
        <v>11</v>
      </c>
      <c r="E619" t="s">
        <v>9</v>
      </c>
    </row>
    <row r="620" spans="1:5" x14ac:dyDescent="0.25">
      <c r="A620" t="s">
        <v>639</v>
      </c>
      <c r="B620" t="s">
        <v>621</v>
      </c>
      <c r="C620" t="s">
        <v>14</v>
      </c>
      <c r="D620" t="s">
        <v>11</v>
      </c>
      <c r="E620" t="s">
        <v>16</v>
      </c>
    </row>
    <row r="621" spans="1:5" x14ac:dyDescent="0.25">
      <c r="A621" t="s">
        <v>640</v>
      </c>
      <c r="B621" t="s">
        <v>621</v>
      </c>
      <c r="C621" t="s">
        <v>14</v>
      </c>
      <c r="D621" t="s">
        <v>11</v>
      </c>
      <c r="E621" t="s">
        <v>29</v>
      </c>
    </row>
    <row r="622" spans="1:5" x14ac:dyDescent="0.25">
      <c r="A622" t="s">
        <v>641</v>
      </c>
      <c r="B622" t="s">
        <v>621</v>
      </c>
      <c r="C622" t="s">
        <v>14</v>
      </c>
      <c r="D622" t="s">
        <v>11</v>
      </c>
      <c r="E622" t="s">
        <v>16</v>
      </c>
    </row>
    <row r="623" spans="1:5" x14ac:dyDescent="0.25">
      <c r="A623" t="s">
        <v>642</v>
      </c>
      <c r="B623" t="s">
        <v>621</v>
      </c>
      <c r="C623" t="s">
        <v>7</v>
      </c>
      <c r="D623" t="s">
        <v>8</v>
      </c>
      <c r="E623" t="s">
        <v>29</v>
      </c>
    </row>
    <row r="624" spans="1:5" x14ac:dyDescent="0.25">
      <c r="A624" t="s">
        <v>643</v>
      </c>
      <c r="B624" t="s">
        <v>621</v>
      </c>
      <c r="C624" t="s">
        <v>14</v>
      </c>
      <c r="D624" t="s">
        <v>11</v>
      </c>
      <c r="E624" t="s">
        <v>12</v>
      </c>
    </row>
    <row r="625" spans="1:5" x14ac:dyDescent="0.25">
      <c r="A625" t="s">
        <v>644</v>
      </c>
      <c r="B625" t="s">
        <v>621</v>
      </c>
      <c r="C625" t="s">
        <v>14</v>
      </c>
      <c r="D625" t="s">
        <v>8</v>
      </c>
      <c r="E625" t="s">
        <v>12</v>
      </c>
    </row>
    <row r="626" spans="1:5" x14ac:dyDescent="0.25">
      <c r="A626" t="s">
        <v>645</v>
      </c>
      <c r="B626" t="s">
        <v>621</v>
      </c>
      <c r="C626" t="s">
        <v>14</v>
      </c>
      <c r="D626" t="s">
        <v>8</v>
      </c>
      <c r="E626" t="s">
        <v>12</v>
      </c>
    </row>
    <row r="627" spans="1:5" x14ac:dyDescent="0.25">
      <c r="A627" t="s">
        <v>646</v>
      </c>
      <c r="B627" t="s">
        <v>621</v>
      </c>
      <c r="C627" t="s">
        <v>7</v>
      </c>
      <c r="D627" t="s">
        <v>8</v>
      </c>
      <c r="E627" t="s">
        <v>29</v>
      </c>
    </row>
    <row r="628" spans="1:5" x14ac:dyDescent="0.25">
      <c r="A628" t="s">
        <v>647</v>
      </c>
      <c r="B628" t="s">
        <v>621</v>
      </c>
      <c r="C628" t="s">
        <v>14</v>
      </c>
      <c r="D628" t="s">
        <v>8</v>
      </c>
      <c r="E628" t="s">
        <v>16</v>
      </c>
    </row>
    <row r="629" spans="1:5" x14ac:dyDescent="0.25">
      <c r="A629" t="s">
        <v>648</v>
      </c>
      <c r="B629" t="s">
        <v>621</v>
      </c>
      <c r="C629" t="s">
        <v>14</v>
      </c>
      <c r="D629" t="s">
        <v>8</v>
      </c>
      <c r="E629" t="s">
        <v>12</v>
      </c>
    </row>
    <row r="630" spans="1:5" x14ac:dyDescent="0.25">
      <c r="A630" t="s">
        <v>649</v>
      </c>
      <c r="B630" t="s">
        <v>621</v>
      </c>
      <c r="C630" t="s">
        <v>14</v>
      </c>
      <c r="D630" t="s">
        <v>8</v>
      </c>
      <c r="E630" t="s">
        <v>29</v>
      </c>
    </row>
    <row r="631" spans="1:5" x14ac:dyDescent="0.25">
      <c r="A631" t="s">
        <v>650</v>
      </c>
      <c r="B631" t="s">
        <v>621</v>
      </c>
      <c r="C631" t="s">
        <v>14</v>
      </c>
      <c r="D631" t="s">
        <v>11</v>
      </c>
      <c r="E631" t="s">
        <v>16</v>
      </c>
    </row>
    <row r="632" spans="1:5" x14ac:dyDescent="0.25">
      <c r="A632" t="s">
        <v>651</v>
      </c>
      <c r="B632" t="s">
        <v>621</v>
      </c>
      <c r="C632" t="s">
        <v>7</v>
      </c>
      <c r="D632" t="s">
        <v>11</v>
      </c>
      <c r="E632" t="s">
        <v>9</v>
      </c>
    </row>
    <row r="633" spans="1:5" x14ac:dyDescent="0.25">
      <c r="A633" t="s">
        <v>652</v>
      </c>
      <c r="B633" t="s">
        <v>621</v>
      </c>
      <c r="C633" t="s">
        <v>14</v>
      </c>
      <c r="D633" t="s">
        <v>11</v>
      </c>
      <c r="E633" t="s">
        <v>9</v>
      </c>
    </row>
    <row r="634" spans="1:5" x14ac:dyDescent="0.25">
      <c r="A634" t="s">
        <v>653</v>
      </c>
      <c r="B634" t="s">
        <v>621</v>
      </c>
      <c r="C634" t="s">
        <v>14</v>
      </c>
      <c r="D634" t="s">
        <v>8</v>
      </c>
      <c r="E634" t="s">
        <v>16</v>
      </c>
    </row>
    <row r="635" spans="1:5" x14ac:dyDescent="0.25">
      <c r="A635" t="s">
        <v>654</v>
      </c>
      <c r="B635" t="s">
        <v>621</v>
      </c>
      <c r="C635" t="s">
        <v>14</v>
      </c>
      <c r="D635" t="s">
        <v>11</v>
      </c>
      <c r="E635" t="s">
        <v>9</v>
      </c>
    </row>
    <row r="636" spans="1:5" x14ac:dyDescent="0.25">
      <c r="A636" t="s">
        <v>655</v>
      </c>
      <c r="B636" t="s">
        <v>621</v>
      </c>
      <c r="C636" t="s">
        <v>14</v>
      </c>
      <c r="D636" t="s">
        <v>11</v>
      </c>
      <c r="E636" t="s">
        <v>9</v>
      </c>
    </row>
    <row r="637" spans="1:5" x14ac:dyDescent="0.25">
      <c r="A637" t="s">
        <v>656</v>
      </c>
      <c r="B637" t="s">
        <v>621</v>
      </c>
      <c r="C637" t="s">
        <v>14</v>
      </c>
      <c r="D637" t="s">
        <v>11</v>
      </c>
      <c r="E637" t="s">
        <v>9</v>
      </c>
    </row>
    <row r="638" spans="1:5" x14ac:dyDescent="0.25">
      <c r="A638" t="s">
        <v>657</v>
      </c>
      <c r="B638" t="s">
        <v>621</v>
      </c>
      <c r="C638" t="s">
        <v>14</v>
      </c>
      <c r="D638" t="s">
        <v>8</v>
      </c>
      <c r="E638" t="s">
        <v>29</v>
      </c>
    </row>
    <row r="639" spans="1:5" x14ac:dyDescent="0.25">
      <c r="A639" t="s">
        <v>658</v>
      </c>
      <c r="B639" t="s">
        <v>621</v>
      </c>
      <c r="C639" t="s">
        <v>14</v>
      </c>
      <c r="D639" t="s">
        <v>11</v>
      </c>
      <c r="E639" t="s">
        <v>9</v>
      </c>
    </row>
    <row r="640" spans="1:5" x14ac:dyDescent="0.25">
      <c r="A640" t="s">
        <v>659</v>
      </c>
      <c r="B640" t="s">
        <v>621</v>
      </c>
      <c r="C640" t="s">
        <v>14</v>
      </c>
      <c r="D640" t="s">
        <v>11</v>
      </c>
      <c r="E640" t="s">
        <v>16</v>
      </c>
    </row>
    <row r="641" spans="1:5" x14ac:dyDescent="0.25">
      <c r="A641" t="s">
        <v>660</v>
      </c>
      <c r="B641" t="s">
        <v>621</v>
      </c>
      <c r="C641" t="s">
        <v>14</v>
      </c>
      <c r="D641" t="s">
        <v>11</v>
      </c>
      <c r="E641" t="s">
        <v>12</v>
      </c>
    </row>
    <row r="642" spans="1:5" x14ac:dyDescent="0.25">
      <c r="A642" t="s">
        <v>661</v>
      </c>
      <c r="B642" t="s">
        <v>621</v>
      </c>
      <c r="C642" t="s">
        <v>14</v>
      </c>
      <c r="D642" t="s">
        <v>11</v>
      </c>
      <c r="E642" t="s">
        <v>12</v>
      </c>
    </row>
    <row r="643" spans="1:5" x14ac:dyDescent="0.25">
      <c r="A643" t="s">
        <v>662</v>
      </c>
      <c r="B643" t="s">
        <v>621</v>
      </c>
      <c r="C643" t="s">
        <v>7</v>
      </c>
      <c r="D643" t="s">
        <v>11</v>
      </c>
      <c r="E643" t="s">
        <v>12</v>
      </c>
    </row>
    <row r="644" spans="1:5" x14ac:dyDescent="0.25">
      <c r="A644" t="s">
        <v>663</v>
      </c>
      <c r="B644" t="s">
        <v>621</v>
      </c>
      <c r="C644" t="s">
        <v>14</v>
      </c>
      <c r="D644" t="s">
        <v>11</v>
      </c>
      <c r="E644" t="s">
        <v>29</v>
      </c>
    </row>
    <row r="645" spans="1:5" x14ac:dyDescent="0.25">
      <c r="A645" t="s">
        <v>664</v>
      </c>
      <c r="B645" t="s">
        <v>621</v>
      </c>
      <c r="C645" t="s">
        <v>7</v>
      </c>
      <c r="D645" t="s">
        <v>8</v>
      </c>
      <c r="E645" t="s">
        <v>12</v>
      </c>
    </row>
    <row r="646" spans="1:5" x14ac:dyDescent="0.25">
      <c r="A646" t="s">
        <v>665</v>
      </c>
      <c r="B646" t="s">
        <v>621</v>
      </c>
      <c r="C646" t="s">
        <v>14</v>
      </c>
      <c r="D646" t="s">
        <v>11</v>
      </c>
      <c r="E646" t="s">
        <v>19</v>
      </c>
    </row>
    <row r="647" spans="1:5" x14ac:dyDescent="0.25">
      <c r="A647" t="s">
        <v>666</v>
      </c>
      <c r="B647" t="s">
        <v>621</v>
      </c>
      <c r="C647" t="s">
        <v>7</v>
      </c>
      <c r="D647" t="s">
        <v>11</v>
      </c>
      <c r="E647" t="s">
        <v>9</v>
      </c>
    </row>
    <row r="648" spans="1:5" x14ac:dyDescent="0.25">
      <c r="A648" t="s">
        <v>667</v>
      </c>
      <c r="B648" t="s">
        <v>621</v>
      </c>
      <c r="C648" t="s">
        <v>7</v>
      </c>
      <c r="D648" t="s">
        <v>8</v>
      </c>
      <c r="E648" t="s">
        <v>16</v>
      </c>
    </row>
    <row r="649" spans="1:5" x14ac:dyDescent="0.25">
      <c r="A649" t="s">
        <v>668</v>
      </c>
      <c r="B649" t="s">
        <v>621</v>
      </c>
      <c r="C649" t="s">
        <v>7</v>
      </c>
      <c r="D649" t="s">
        <v>8</v>
      </c>
      <c r="E649" t="s">
        <v>19</v>
      </c>
    </row>
    <row r="650" spans="1:5" x14ac:dyDescent="0.25">
      <c r="A650" t="s">
        <v>669</v>
      </c>
      <c r="B650" t="s">
        <v>621</v>
      </c>
      <c r="C650" t="s">
        <v>14</v>
      </c>
      <c r="D650" t="s">
        <v>11</v>
      </c>
      <c r="E650" t="s">
        <v>9</v>
      </c>
    </row>
    <row r="651" spans="1:5" x14ac:dyDescent="0.25">
      <c r="A651" t="s">
        <v>670</v>
      </c>
      <c r="B651" t="s">
        <v>621</v>
      </c>
      <c r="C651" t="s">
        <v>14</v>
      </c>
      <c r="D651" t="s">
        <v>11</v>
      </c>
      <c r="E651" t="s">
        <v>9</v>
      </c>
    </row>
    <row r="652" spans="1:5" x14ac:dyDescent="0.25">
      <c r="A652" t="s">
        <v>671</v>
      </c>
      <c r="B652" t="s">
        <v>621</v>
      </c>
      <c r="C652" t="s">
        <v>14</v>
      </c>
      <c r="D652" t="s">
        <v>8</v>
      </c>
      <c r="E652" t="s">
        <v>29</v>
      </c>
    </row>
    <row r="653" spans="1:5" x14ac:dyDescent="0.25">
      <c r="A653" t="s">
        <v>672</v>
      </c>
      <c r="B653" t="s">
        <v>621</v>
      </c>
      <c r="C653" t="s">
        <v>14</v>
      </c>
      <c r="D653" t="s">
        <v>11</v>
      </c>
      <c r="E653" t="s">
        <v>16</v>
      </c>
    </row>
    <row r="654" spans="1:5" x14ac:dyDescent="0.25">
      <c r="A654" t="s">
        <v>673</v>
      </c>
      <c r="B654" t="s">
        <v>621</v>
      </c>
      <c r="C654" t="s">
        <v>14</v>
      </c>
      <c r="D654" t="s">
        <v>11</v>
      </c>
      <c r="E654" t="s">
        <v>9</v>
      </c>
    </row>
    <row r="655" spans="1:5" x14ac:dyDescent="0.25">
      <c r="A655" t="s">
        <v>674</v>
      </c>
      <c r="B655" t="s">
        <v>621</v>
      </c>
      <c r="C655" t="s">
        <v>7</v>
      </c>
      <c r="D655" t="s">
        <v>8</v>
      </c>
      <c r="E655" t="s">
        <v>29</v>
      </c>
    </row>
    <row r="656" spans="1:5" x14ac:dyDescent="0.25">
      <c r="A656" t="s">
        <v>675</v>
      </c>
      <c r="B656" t="s">
        <v>621</v>
      </c>
      <c r="C656" t="s">
        <v>14</v>
      </c>
      <c r="D656" t="s">
        <v>11</v>
      </c>
      <c r="E656" t="s">
        <v>9</v>
      </c>
    </row>
    <row r="657" spans="1:5" x14ac:dyDescent="0.25">
      <c r="A657" t="s">
        <v>676</v>
      </c>
      <c r="B657" t="s">
        <v>621</v>
      </c>
      <c r="C657" t="s">
        <v>14</v>
      </c>
      <c r="D657" t="s">
        <v>11</v>
      </c>
      <c r="E657" t="s">
        <v>16</v>
      </c>
    </row>
    <row r="658" spans="1:5" x14ac:dyDescent="0.25">
      <c r="A658" t="s">
        <v>677</v>
      </c>
      <c r="B658" t="s">
        <v>621</v>
      </c>
      <c r="C658" t="s">
        <v>7</v>
      </c>
      <c r="D658" t="s">
        <v>8</v>
      </c>
      <c r="E658" t="s">
        <v>16</v>
      </c>
    </row>
    <row r="659" spans="1:5" x14ac:dyDescent="0.25">
      <c r="A659" t="s">
        <v>678</v>
      </c>
      <c r="B659" t="s">
        <v>621</v>
      </c>
      <c r="C659" t="s">
        <v>7</v>
      </c>
      <c r="D659" t="s">
        <v>8</v>
      </c>
      <c r="E659" t="s">
        <v>12</v>
      </c>
    </row>
    <row r="660" spans="1:5" x14ac:dyDescent="0.25">
      <c r="A660" t="s">
        <v>679</v>
      </c>
      <c r="B660" t="s">
        <v>621</v>
      </c>
      <c r="C660" t="s">
        <v>7</v>
      </c>
      <c r="D660" t="s">
        <v>8</v>
      </c>
      <c r="E660" t="s">
        <v>12</v>
      </c>
    </row>
    <row r="661" spans="1:5" x14ac:dyDescent="0.25">
      <c r="A661" t="s">
        <v>680</v>
      </c>
      <c r="B661" t="s">
        <v>621</v>
      </c>
      <c r="C661" t="s">
        <v>7</v>
      </c>
      <c r="D661" t="s">
        <v>8</v>
      </c>
      <c r="E661" t="s">
        <v>12</v>
      </c>
    </row>
    <row r="662" spans="1:5" x14ac:dyDescent="0.25">
      <c r="A662" t="s">
        <v>681</v>
      </c>
      <c r="B662" t="s">
        <v>621</v>
      </c>
      <c r="C662" t="s">
        <v>7</v>
      </c>
      <c r="D662" t="s">
        <v>8</v>
      </c>
      <c r="E662" t="s">
        <v>9</v>
      </c>
    </row>
    <row r="663" spans="1:5" x14ac:dyDescent="0.25">
      <c r="A663" t="s">
        <v>682</v>
      </c>
      <c r="B663" t="s">
        <v>621</v>
      </c>
      <c r="C663" t="s">
        <v>7</v>
      </c>
      <c r="D663" t="s">
        <v>8</v>
      </c>
      <c r="E663" t="s">
        <v>29</v>
      </c>
    </row>
    <row r="664" spans="1:5" x14ac:dyDescent="0.25">
      <c r="A664" t="s">
        <v>683</v>
      </c>
      <c r="B664" t="s">
        <v>621</v>
      </c>
      <c r="C664" t="s">
        <v>14</v>
      </c>
      <c r="D664" t="s">
        <v>11</v>
      </c>
      <c r="E664" t="s">
        <v>19</v>
      </c>
    </row>
    <row r="665" spans="1:5" x14ac:dyDescent="0.25">
      <c r="A665" t="s">
        <v>684</v>
      </c>
      <c r="B665" t="s">
        <v>621</v>
      </c>
      <c r="C665" t="s">
        <v>14</v>
      </c>
      <c r="D665" t="s">
        <v>11</v>
      </c>
      <c r="E665" t="s">
        <v>9</v>
      </c>
    </row>
    <row r="666" spans="1:5" x14ac:dyDescent="0.25">
      <c r="A666" t="s">
        <v>685</v>
      </c>
      <c r="B666" t="s">
        <v>621</v>
      </c>
      <c r="C666" t="s">
        <v>7</v>
      </c>
      <c r="D666" t="s">
        <v>11</v>
      </c>
      <c r="E666" t="s">
        <v>9</v>
      </c>
    </row>
    <row r="667" spans="1:5" x14ac:dyDescent="0.25">
      <c r="A667" t="s">
        <v>686</v>
      </c>
      <c r="B667" t="s">
        <v>621</v>
      </c>
      <c r="C667" t="s">
        <v>14</v>
      </c>
      <c r="D667" t="s">
        <v>8</v>
      </c>
      <c r="E667" t="s">
        <v>29</v>
      </c>
    </row>
    <row r="668" spans="1:5" x14ac:dyDescent="0.25">
      <c r="A668" t="s">
        <v>687</v>
      </c>
      <c r="B668" t="s">
        <v>621</v>
      </c>
      <c r="C668" t="s">
        <v>14</v>
      </c>
      <c r="D668" t="s">
        <v>8</v>
      </c>
      <c r="E668" t="s">
        <v>19</v>
      </c>
    </row>
    <row r="669" spans="1:5" x14ac:dyDescent="0.25">
      <c r="A669" t="s">
        <v>688</v>
      </c>
      <c r="B669" t="s">
        <v>621</v>
      </c>
      <c r="C669" t="s">
        <v>14</v>
      </c>
      <c r="D669" t="s">
        <v>8</v>
      </c>
      <c r="E669" t="s">
        <v>9</v>
      </c>
    </row>
    <row r="670" spans="1:5" x14ac:dyDescent="0.25">
      <c r="A670" t="s">
        <v>689</v>
      </c>
      <c r="B670" t="s">
        <v>621</v>
      </c>
      <c r="C670" t="s">
        <v>14</v>
      </c>
      <c r="D670" t="s">
        <v>11</v>
      </c>
      <c r="E670" t="s">
        <v>9</v>
      </c>
    </row>
    <row r="671" spans="1:5" x14ac:dyDescent="0.25">
      <c r="A671" t="s">
        <v>690</v>
      </c>
      <c r="B671" t="s">
        <v>621</v>
      </c>
      <c r="C671" t="s">
        <v>14</v>
      </c>
      <c r="D671" t="s">
        <v>11</v>
      </c>
      <c r="E671" t="s">
        <v>29</v>
      </c>
    </row>
    <row r="672" spans="1:5" x14ac:dyDescent="0.25">
      <c r="A672" t="s">
        <v>691</v>
      </c>
      <c r="B672" t="s">
        <v>621</v>
      </c>
      <c r="C672" t="s">
        <v>14</v>
      </c>
      <c r="D672" t="s">
        <v>11</v>
      </c>
      <c r="E672" t="s">
        <v>9</v>
      </c>
    </row>
    <row r="673" spans="1:5" x14ac:dyDescent="0.25">
      <c r="A673" t="s">
        <v>692</v>
      </c>
      <c r="B673" t="s">
        <v>621</v>
      </c>
      <c r="C673" t="s">
        <v>14</v>
      </c>
      <c r="D673" t="s">
        <v>11</v>
      </c>
      <c r="E673" t="s">
        <v>9</v>
      </c>
    </row>
    <row r="674" spans="1:5" x14ac:dyDescent="0.25">
      <c r="A674" t="s">
        <v>693</v>
      </c>
      <c r="B674" t="s">
        <v>621</v>
      </c>
      <c r="C674" t="s">
        <v>14</v>
      </c>
      <c r="D674" t="s">
        <v>11</v>
      </c>
      <c r="E674" t="s">
        <v>9</v>
      </c>
    </row>
    <row r="675" spans="1:5" x14ac:dyDescent="0.25">
      <c r="A675" t="s">
        <v>694</v>
      </c>
      <c r="B675" t="s">
        <v>621</v>
      </c>
      <c r="C675" t="s">
        <v>14</v>
      </c>
      <c r="D675" t="s">
        <v>11</v>
      </c>
      <c r="E675" t="s">
        <v>9</v>
      </c>
    </row>
    <row r="676" spans="1:5" x14ac:dyDescent="0.25">
      <c r="A676" t="s">
        <v>695</v>
      </c>
      <c r="B676" t="s">
        <v>621</v>
      </c>
      <c r="C676" t="s">
        <v>7</v>
      </c>
      <c r="D676" t="s">
        <v>11</v>
      </c>
      <c r="E676" t="s">
        <v>16</v>
      </c>
    </row>
    <row r="677" spans="1:5" x14ac:dyDescent="0.25">
      <c r="A677" t="s">
        <v>696</v>
      </c>
      <c r="B677" t="s">
        <v>621</v>
      </c>
      <c r="C677" t="s">
        <v>14</v>
      </c>
      <c r="D677" t="s">
        <v>11</v>
      </c>
      <c r="E677" t="s">
        <v>9</v>
      </c>
    </row>
    <row r="678" spans="1:5" x14ac:dyDescent="0.25">
      <c r="A678" t="s">
        <v>697</v>
      </c>
      <c r="B678" t="s">
        <v>621</v>
      </c>
      <c r="C678" t="s">
        <v>14</v>
      </c>
      <c r="D678" t="s">
        <v>11</v>
      </c>
      <c r="E678" t="s">
        <v>29</v>
      </c>
    </row>
    <row r="679" spans="1:5" x14ac:dyDescent="0.25">
      <c r="A679" t="s">
        <v>698</v>
      </c>
      <c r="B679" t="s">
        <v>621</v>
      </c>
      <c r="C679" t="s">
        <v>14</v>
      </c>
      <c r="D679" t="s">
        <v>11</v>
      </c>
      <c r="E679" t="s">
        <v>9</v>
      </c>
    </row>
    <row r="680" spans="1:5" x14ac:dyDescent="0.25">
      <c r="A680" t="s">
        <v>699</v>
      </c>
      <c r="B680" t="s">
        <v>621</v>
      </c>
      <c r="C680" t="s">
        <v>14</v>
      </c>
      <c r="D680" t="s">
        <v>11</v>
      </c>
      <c r="E680" t="s">
        <v>12</v>
      </c>
    </row>
    <row r="681" spans="1:5" x14ac:dyDescent="0.25">
      <c r="A681" t="s">
        <v>700</v>
      </c>
      <c r="B681" t="s">
        <v>621</v>
      </c>
      <c r="C681" t="s">
        <v>14</v>
      </c>
      <c r="D681" t="s">
        <v>8</v>
      </c>
      <c r="E681" t="s">
        <v>12</v>
      </c>
    </row>
    <row r="682" spans="1:5" x14ac:dyDescent="0.25">
      <c r="A682" t="s">
        <v>701</v>
      </c>
      <c r="B682" t="s">
        <v>621</v>
      </c>
      <c r="C682" t="s">
        <v>14</v>
      </c>
      <c r="D682" t="s">
        <v>11</v>
      </c>
      <c r="E682" t="s">
        <v>9</v>
      </c>
    </row>
    <row r="683" spans="1:5" x14ac:dyDescent="0.25">
      <c r="A683" t="s">
        <v>702</v>
      </c>
      <c r="B683" t="s">
        <v>621</v>
      </c>
      <c r="C683" t="s">
        <v>14</v>
      </c>
      <c r="D683" t="s">
        <v>8</v>
      </c>
      <c r="E683" t="s">
        <v>9</v>
      </c>
    </row>
    <row r="684" spans="1:5" x14ac:dyDescent="0.25">
      <c r="A684" t="s">
        <v>703</v>
      </c>
      <c r="B684" t="s">
        <v>621</v>
      </c>
      <c r="C684" t="s">
        <v>14</v>
      </c>
      <c r="D684" t="s">
        <v>8</v>
      </c>
      <c r="E684" t="s">
        <v>9</v>
      </c>
    </row>
    <row r="685" spans="1:5" x14ac:dyDescent="0.25">
      <c r="A685" t="s">
        <v>704</v>
      </c>
      <c r="B685" t="s">
        <v>621</v>
      </c>
      <c r="C685" t="s">
        <v>14</v>
      </c>
      <c r="D685" t="s">
        <v>11</v>
      </c>
      <c r="E685" t="s">
        <v>19</v>
      </c>
    </row>
    <row r="686" spans="1:5" x14ac:dyDescent="0.25">
      <c r="A686" t="s">
        <v>705</v>
      </c>
      <c r="B686" t="s">
        <v>621</v>
      </c>
      <c r="C686" t="s">
        <v>14</v>
      </c>
      <c r="D686" t="s">
        <v>8</v>
      </c>
      <c r="E686" t="s">
        <v>16</v>
      </c>
    </row>
    <row r="687" spans="1:5" x14ac:dyDescent="0.25">
      <c r="A687" t="s">
        <v>706</v>
      </c>
      <c r="B687" t="s">
        <v>621</v>
      </c>
      <c r="C687" t="s">
        <v>14</v>
      </c>
      <c r="D687" t="s">
        <v>11</v>
      </c>
      <c r="E687" t="s">
        <v>9</v>
      </c>
    </row>
    <row r="688" spans="1:5" x14ac:dyDescent="0.25">
      <c r="A688" t="s">
        <v>707</v>
      </c>
      <c r="B688" t="s">
        <v>621</v>
      </c>
      <c r="C688" t="s">
        <v>7</v>
      </c>
      <c r="D688" t="s">
        <v>8</v>
      </c>
      <c r="E688" t="s">
        <v>9</v>
      </c>
    </row>
    <row r="689" spans="1:5" x14ac:dyDescent="0.25">
      <c r="A689" t="s">
        <v>708</v>
      </c>
      <c r="B689" t="s">
        <v>621</v>
      </c>
      <c r="C689" t="s">
        <v>14</v>
      </c>
      <c r="D689" t="s">
        <v>8</v>
      </c>
      <c r="E689" t="s">
        <v>9</v>
      </c>
    </row>
    <row r="690" spans="1:5" x14ac:dyDescent="0.25">
      <c r="A690" t="s">
        <v>709</v>
      </c>
      <c r="B690" t="s">
        <v>621</v>
      </c>
      <c r="C690" t="s">
        <v>14</v>
      </c>
      <c r="D690" t="s">
        <v>11</v>
      </c>
      <c r="E690" t="s">
        <v>9</v>
      </c>
    </row>
    <row r="691" spans="1:5" x14ac:dyDescent="0.25">
      <c r="A691" t="s">
        <v>710</v>
      </c>
      <c r="B691" t="s">
        <v>621</v>
      </c>
      <c r="C691" t="s">
        <v>14</v>
      </c>
      <c r="D691" t="s">
        <v>11</v>
      </c>
      <c r="E691" t="s">
        <v>9</v>
      </c>
    </row>
    <row r="692" spans="1:5" x14ac:dyDescent="0.25">
      <c r="A692" t="s">
        <v>711</v>
      </c>
      <c r="B692" t="s">
        <v>621</v>
      </c>
      <c r="C692" t="s">
        <v>14</v>
      </c>
      <c r="D692" t="s">
        <v>11</v>
      </c>
      <c r="E692" t="s">
        <v>9</v>
      </c>
    </row>
    <row r="693" spans="1:5" x14ac:dyDescent="0.25">
      <c r="A693" t="s">
        <v>712</v>
      </c>
      <c r="B693" t="s">
        <v>621</v>
      </c>
      <c r="C693" t="s">
        <v>14</v>
      </c>
      <c r="D693" t="s">
        <v>11</v>
      </c>
      <c r="E693" t="s">
        <v>16</v>
      </c>
    </row>
    <row r="694" spans="1:5" x14ac:dyDescent="0.25">
      <c r="A694" t="s">
        <v>713</v>
      </c>
      <c r="B694" t="s">
        <v>621</v>
      </c>
      <c r="C694" t="s">
        <v>14</v>
      </c>
      <c r="D694" t="s">
        <v>8</v>
      </c>
      <c r="E694" t="s">
        <v>29</v>
      </c>
    </row>
    <row r="695" spans="1:5" x14ac:dyDescent="0.25">
      <c r="A695" t="s">
        <v>714</v>
      </c>
      <c r="B695" t="s">
        <v>621</v>
      </c>
      <c r="C695" t="s">
        <v>7</v>
      </c>
      <c r="D695" t="s">
        <v>11</v>
      </c>
      <c r="E695" t="s">
        <v>9</v>
      </c>
    </row>
    <row r="696" spans="1:5" x14ac:dyDescent="0.25">
      <c r="A696" t="s">
        <v>715</v>
      </c>
      <c r="B696" t="s">
        <v>621</v>
      </c>
      <c r="C696" t="s">
        <v>14</v>
      </c>
      <c r="D696" t="s">
        <v>11</v>
      </c>
      <c r="E696" t="s">
        <v>29</v>
      </c>
    </row>
    <row r="697" spans="1:5" x14ac:dyDescent="0.25">
      <c r="A697" t="s">
        <v>716</v>
      </c>
      <c r="B697" t="s">
        <v>621</v>
      </c>
      <c r="C697" t="s">
        <v>14</v>
      </c>
      <c r="D697" t="s">
        <v>8</v>
      </c>
      <c r="E697" t="s">
        <v>29</v>
      </c>
    </row>
    <row r="698" spans="1:5" x14ac:dyDescent="0.25">
      <c r="A698" t="s">
        <v>717</v>
      </c>
      <c r="B698" t="s">
        <v>621</v>
      </c>
      <c r="C698" t="s">
        <v>14</v>
      </c>
      <c r="D698" t="s">
        <v>8</v>
      </c>
      <c r="E698" t="s">
        <v>9</v>
      </c>
    </row>
    <row r="699" spans="1:5" x14ac:dyDescent="0.25">
      <c r="A699" t="s">
        <v>718</v>
      </c>
      <c r="B699" t="s">
        <v>621</v>
      </c>
      <c r="C699" t="s">
        <v>14</v>
      </c>
      <c r="D699" t="s">
        <v>8</v>
      </c>
      <c r="E699" t="s">
        <v>16</v>
      </c>
    </row>
    <row r="700" spans="1:5" x14ac:dyDescent="0.25">
      <c r="A700" t="s">
        <v>719</v>
      </c>
      <c r="B700" t="s">
        <v>621</v>
      </c>
      <c r="C700" t="s">
        <v>14</v>
      </c>
      <c r="D700" t="s">
        <v>11</v>
      </c>
      <c r="E700" t="s">
        <v>29</v>
      </c>
    </row>
    <row r="701" spans="1:5" x14ac:dyDescent="0.25">
      <c r="A701" t="s">
        <v>720</v>
      </c>
      <c r="B701" t="s">
        <v>621</v>
      </c>
      <c r="C701" t="s">
        <v>14</v>
      </c>
      <c r="D701" t="s">
        <v>11</v>
      </c>
      <c r="E701" t="s">
        <v>16</v>
      </c>
    </row>
    <row r="702" spans="1:5" x14ac:dyDescent="0.25">
      <c r="A702" t="s">
        <v>721</v>
      </c>
      <c r="B702" t="s">
        <v>621</v>
      </c>
      <c r="C702" t="s">
        <v>14</v>
      </c>
      <c r="D702" t="s">
        <v>11</v>
      </c>
      <c r="E702" t="s">
        <v>29</v>
      </c>
    </row>
    <row r="703" spans="1:5" x14ac:dyDescent="0.25">
      <c r="A703" t="s">
        <v>722</v>
      </c>
      <c r="B703" t="s">
        <v>621</v>
      </c>
      <c r="C703" t="s">
        <v>14</v>
      </c>
      <c r="D703" t="s">
        <v>11</v>
      </c>
      <c r="E703" t="s">
        <v>29</v>
      </c>
    </row>
    <row r="704" spans="1:5" x14ac:dyDescent="0.25">
      <c r="A704" t="s">
        <v>723</v>
      </c>
      <c r="B704" t="s">
        <v>621</v>
      </c>
      <c r="C704" t="s">
        <v>14</v>
      </c>
      <c r="D704" t="s">
        <v>8</v>
      </c>
      <c r="E704" t="s">
        <v>9</v>
      </c>
    </row>
    <row r="705" spans="1:5" x14ac:dyDescent="0.25">
      <c r="A705" t="s">
        <v>724</v>
      </c>
      <c r="B705" t="s">
        <v>621</v>
      </c>
      <c r="C705" t="s">
        <v>14</v>
      </c>
      <c r="D705" t="s">
        <v>11</v>
      </c>
      <c r="E705" t="s">
        <v>9</v>
      </c>
    </row>
    <row r="706" spans="1:5" x14ac:dyDescent="0.25">
      <c r="A706" t="s">
        <v>725</v>
      </c>
      <c r="B706" t="s">
        <v>621</v>
      </c>
      <c r="C706" t="s">
        <v>14</v>
      </c>
      <c r="D706" t="s">
        <v>11</v>
      </c>
      <c r="E706" t="s">
        <v>9</v>
      </c>
    </row>
    <row r="707" spans="1:5" x14ac:dyDescent="0.25">
      <c r="A707" t="s">
        <v>726</v>
      </c>
      <c r="B707" t="s">
        <v>621</v>
      </c>
      <c r="C707" t="s">
        <v>14</v>
      </c>
      <c r="D707" t="s">
        <v>11</v>
      </c>
      <c r="E707" t="s">
        <v>9</v>
      </c>
    </row>
    <row r="708" spans="1:5" x14ac:dyDescent="0.25">
      <c r="A708" t="s">
        <v>727</v>
      </c>
      <c r="B708" t="s">
        <v>621</v>
      </c>
      <c r="C708" t="s">
        <v>14</v>
      </c>
      <c r="D708" t="s">
        <v>8</v>
      </c>
      <c r="E708" t="s">
        <v>9</v>
      </c>
    </row>
    <row r="709" spans="1:5" x14ac:dyDescent="0.25">
      <c r="A709" t="s">
        <v>728</v>
      </c>
      <c r="B709" t="s">
        <v>621</v>
      </c>
      <c r="C709" t="s">
        <v>14</v>
      </c>
      <c r="D709" t="s">
        <v>11</v>
      </c>
      <c r="E709" t="s">
        <v>9</v>
      </c>
    </row>
    <row r="710" spans="1:5" x14ac:dyDescent="0.25">
      <c r="A710" t="s">
        <v>729</v>
      </c>
      <c r="B710" t="s">
        <v>621</v>
      </c>
      <c r="C710" t="s">
        <v>14</v>
      </c>
      <c r="D710" t="s">
        <v>11</v>
      </c>
      <c r="E710" t="s">
        <v>9</v>
      </c>
    </row>
    <row r="711" spans="1:5" x14ac:dyDescent="0.25">
      <c r="A711" t="s">
        <v>730</v>
      </c>
      <c r="B711" t="s">
        <v>621</v>
      </c>
      <c r="C711" t="s">
        <v>7</v>
      </c>
      <c r="D711" t="s">
        <v>8</v>
      </c>
      <c r="E711" t="s">
        <v>29</v>
      </c>
    </row>
    <row r="712" spans="1:5" x14ac:dyDescent="0.25">
      <c r="A712" t="s">
        <v>731</v>
      </c>
      <c r="B712" t="s">
        <v>621</v>
      </c>
      <c r="C712" t="s">
        <v>14</v>
      </c>
      <c r="D712" t="s">
        <v>8</v>
      </c>
      <c r="E712" t="s">
        <v>16</v>
      </c>
    </row>
    <row r="713" spans="1:5" x14ac:dyDescent="0.25">
      <c r="A713" t="s">
        <v>732</v>
      </c>
      <c r="B713" t="s">
        <v>621</v>
      </c>
      <c r="C713" t="s">
        <v>14</v>
      </c>
      <c r="D713" t="s">
        <v>11</v>
      </c>
      <c r="E713" t="s">
        <v>9</v>
      </c>
    </row>
    <row r="714" spans="1:5" x14ac:dyDescent="0.25">
      <c r="A714" t="s">
        <v>733</v>
      </c>
      <c r="B714" t="s">
        <v>621</v>
      </c>
      <c r="C714" t="s">
        <v>14</v>
      </c>
      <c r="D714" t="s">
        <v>11</v>
      </c>
      <c r="E714" t="s">
        <v>9</v>
      </c>
    </row>
    <row r="715" spans="1:5" x14ac:dyDescent="0.25">
      <c r="A715" t="s">
        <v>734</v>
      </c>
      <c r="B715" t="s">
        <v>621</v>
      </c>
      <c r="C715" t="s">
        <v>14</v>
      </c>
      <c r="D715" t="s">
        <v>11</v>
      </c>
      <c r="E715" t="s">
        <v>9</v>
      </c>
    </row>
    <row r="716" spans="1:5" x14ac:dyDescent="0.25">
      <c r="A716" t="s">
        <v>735</v>
      </c>
      <c r="B716" t="s">
        <v>621</v>
      </c>
      <c r="C716" t="s">
        <v>7</v>
      </c>
      <c r="D716" t="s">
        <v>11</v>
      </c>
      <c r="E716" t="s">
        <v>16</v>
      </c>
    </row>
    <row r="717" spans="1:5" x14ac:dyDescent="0.25">
      <c r="A717" t="s">
        <v>736</v>
      </c>
      <c r="B717" t="s">
        <v>621</v>
      </c>
      <c r="C717" t="s">
        <v>14</v>
      </c>
      <c r="D717" t="s">
        <v>11</v>
      </c>
      <c r="E717" t="s">
        <v>9</v>
      </c>
    </row>
    <row r="718" spans="1:5" x14ac:dyDescent="0.25">
      <c r="A718" t="s">
        <v>737</v>
      </c>
      <c r="B718" t="s">
        <v>621</v>
      </c>
      <c r="C718" t="s">
        <v>14</v>
      </c>
      <c r="D718" t="s">
        <v>11</v>
      </c>
      <c r="E718" t="s">
        <v>9</v>
      </c>
    </row>
    <row r="719" spans="1:5" x14ac:dyDescent="0.25">
      <c r="A719" t="s">
        <v>738</v>
      </c>
      <c r="B719" t="s">
        <v>621</v>
      </c>
      <c r="C719" t="s">
        <v>14</v>
      </c>
      <c r="D719" t="s">
        <v>11</v>
      </c>
      <c r="E719" t="s">
        <v>29</v>
      </c>
    </row>
    <row r="720" spans="1:5" x14ac:dyDescent="0.25">
      <c r="A720" t="s">
        <v>739</v>
      </c>
      <c r="B720" t="s">
        <v>621</v>
      </c>
      <c r="C720" t="s">
        <v>14</v>
      </c>
      <c r="D720" t="s">
        <v>11</v>
      </c>
      <c r="E720" t="s">
        <v>9</v>
      </c>
    </row>
    <row r="721" spans="1:5" x14ac:dyDescent="0.25">
      <c r="A721" t="s">
        <v>740</v>
      </c>
      <c r="B721" t="s">
        <v>621</v>
      </c>
      <c r="C721" t="s">
        <v>7</v>
      </c>
      <c r="D721" t="s">
        <v>11</v>
      </c>
      <c r="E721" t="s">
        <v>29</v>
      </c>
    </row>
    <row r="722" spans="1:5" x14ac:dyDescent="0.25">
      <c r="A722" t="s">
        <v>741</v>
      </c>
      <c r="B722" t="s">
        <v>621</v>
      </c>
      <c r="C722" t="s">
        <v>14</v>
      </c>
      <c r="D722" t="s">
        <v>11</v>
      </c>
      <c r="E722" t="s">
        <v>9</v>
      </c>
    </row>
    <row r="723" spans="1:5" x14ac:dyDescent="0.25">
      <c r="A723" t="s">
        <v>742</v>
      </c>
      <c r="B723" t="s">
        <v>621</v>
      </c>
      <c r="C723" t="s">
        <v>14</v>
      </c>
      <c r="D723" t="s">
        <v>11</v>
      </c>
      <c r="E723" t="s">
        <v>16</v>
      </c>
    </row>
    <row r="724" spans="1:5" x14ac:dyDescent="0.25">
      <c r="A724" t="s">
        <v>743</v>
      </c>
      <c r="B724" t="s">
        <v>621</v>
      </c>
      <c r="C724" t="s">
        <v>14</v>
      </c>
      <c r="D724" t="s">
        <v>11</v>
      </c>
      <c r="E724" t="s">
        <v>9</v>
      </c>
    </row>
    <row r="725" spans="1:5" x14ac:dyDescent="0.25">
      <c r="A725" t="s">
        <v>744</v>
      </c>
      <c r="B725" t="s">
        <v>621</v>
      </c>
      <c r="C725" t="s">
        <v>14</v>
      </c>
      <c r="D725" t="s">
        <v>11</v>
      </c>
      <c r="E725" t="s">
        <v>16</v>
      </c>
    </row>
    <row r="726" spans="1:5" x14ac:dyDescent="0.25">
      <c r="A726" t="s">
        <v>745</v>
      </c>
      <c r="B726" t="s">
        <v>621</v>
      </c>
      <c r="C726" t="s">
        <v>14</v>
      </c>
      <c r="D726" t="s">
        <v>11</v>
      </c>
      <c r="E726" t="s">
        <v>16</v>
      </c>
    </row>
    <row r="727" spans="1:5" x14ac:dyDescent="0.25">
      <c r="A727" t="s">
        <v>746</v>
      </c>
      <c r="B727" t="s">
        <v>621</v>
      </c>
      <c r="C727" t="s">
        <v>7</v>
      </c>
      <c r="D727" t="s">
        <v>8</v>
      </c>
      <c r="E727" t="s">
        <v>9</v>
      </c>
    </row>
    <row r="728" spans="1:5" x14ac:dyDescent="0.25">
      <c r="A728" t="s">
        <v>747</v>
      </c>
      <c r="B728" t="s">
        <v>621</v>
      </c>
      <c r="C728" t="s">
        <v>14</v>
      </c>
      <c r="D728" t="s">
        <v>8</v>
      </c>
      <c r="E728" t="s">
        <v>16</v>
      </c>
    </row>
    <row r="729" spans="1:5" x14ac:dyDescent="0.25">
      <c r="A729" t="s">
        <v>748</v>
      </c>
      <c r="B729" t="s">
        <v>621</v>
      </c>
      <c r="C729" t="s">
        <v>14</v>
      </c>
      <c r="D729" t="s">
        <v>11</v>
      </c>
      <c r="E729" t="s">
        <v>26</v>
      </c>
    </row>
    <row r="730" spans="1:5" x14ac:dyDescent="0.25">
      <c r="A730" t="s">
        <v>749</v>
      </c>
      <c r="B730" t="s">
        <v>621</v>
      </c>
      <c r="C730" t="s">
        <v>14</v>
      </c>
      <c r="D730" t="s">
        <v>11</v>
      </c>
      <c r="E730" t="s">
        <v>19</v>
      </c>
    </row>
    <row r="731" spans="1:5" x14ac:dyDescent="0.25">
      <c r="A731" t="s">
        <v>750</v>
      </c>
      <c r="B731" t="s">
        <v>621</v>
      </c>
      <c r="C731" t="s">
        <v>14</v>
      </c>
      <c r="D731" t="s">
        <v>11</v>
      </c>
      <c r="E731" t="s">
        <v>16</v>
      </c>
    </row>
    <row r="732" spans="1:5" x14ac:dyDescent="0.25">
      <c r="A732" t="s">
        <v>751</v>
      </c>
      <c r="B732" t="s">
        <v>621</v>
      </c>
      <c r="C732" t="s">
        <v>14</v>
      </c>
      <c r="D732" t="s">
        <v>11</v>
      </c>
      <c r="E732" t="s">
        <v>9</v>
      </c>
    </row>
    <row r="733" spans="1:5" x14ac:dyDescent="0.25">
      <c r="A733" t="s">
        <v>752</v>
      </c>
      <c r="B733" t="s">
        <v>621</v>
      </c>
      <c r="C733" t="s">
        <v>14</v>
      </c>
      <c r="D733" t="s">
        <v>11</v>
      </c>
      <c r="E733" t="s">
        <v>29</v>
      </c>
    </row>
    <row r="734" spans="1:5" x14ac:dyDescent="0.25">
      <c r="A734" t="s">
        <v>753</v>
      </c>
      <c r="B734" t="s">
        <v>621</v>
      </c>
      <c r="C734" t="s">
        <v>14</v>
      </c>
      <c r="D734" t="s">
        <v>11</v>
      </c>
      <c r="E734" t="s">
        <v>16</v>
      </c>
    </row>
    <row r="735" spans="1:5" x14ac:dyDescent="0.25">
      <c r="A735" t="s">
        <v>754</v>
      </c>
      <c r="B735" t="s">
        <v>621</v>
      </c>
      <c r="C735" t="s">
        <v>7</v>
      </c>
      <c r="D735" t="s">
        <v>11</v>
      </c>
      <c r="E735" t="s">
        <v>12</v>
      </c>
    </row>
    <row r="736" spans="1:5" x14ac:dyDescent="0.25">
      <c r="A736" t="s">
        <v>755</v>
      </c>
      <c r="B736" t="s">
        <v>621</v>
      </c>
      <c r="C736" t="s">
        <v>7</v>
      </c>
      <c r="D736" t="s">
        <v>11</v>
      </c>
      <c r="E736" t="s">
        <v>12</v>
      </c>
    </row>
    <row r="737" spans="1:5" x14ac:dyDescent="0.25">
      <c r="A737" t="s">
        <v>756</v>
      </c>
      <c r="B737" t="s">
        <v>621</v>
      </c>
      <c r="C737" t="s">
        <v>7</v>
      </c>
      <c r="D737" t="s">
        <v>8</v>
      </c>
      <c r="E737" t="s">
        <v>16</v>
      </c>
    </row>
    <row r="738" spans="1:5" x14ac:dyDescent="0.25">
      <c r="A738" t="s">
        <v>757</v>
      </c>
      <c r="B738" t="s">
        <v>621</v>
      </c>
      <c r="C738" t="s">
        <v>14</v>
      </c>
      <c r="D738" t="s">
        <v>11</v>
      </c>
      <c r="E738" t="s">
        <v>24</v>
      </c>
    </row>
    <row r="739" spans="1:5" x14ac:dyDescent="0.25">
      <c r="A739" t="s">
        <v>758</v>
      </c>
      <c r="B739" t="s">
        <v>621</v>
      </c>
      <c r="C739" t="s">
        <v>14</v>
      </c>
      <c r="D739" t="s">
        <v>11</v>
      </c>
      <c r="E739" t="s">
        <v>29</v>
      </c>
    </row>
    <row r="740" spans="1:5" x14ac:dyDescent="0.25">
      <c r="A740" t="s">
        <v>759</v>
      </c>
      <c r="B740" t="s">
        <v>621</v>
      </c>
      <c r="C740" t="s">
        <v>7</v>
      </c>
      <c r="D740" t="s">
        <v>8</v>
      </c>
      <c r="E740" t="s">
        <v>29</v>
      </c>
    </row>
    <row r="741" spans="1:5" x14ac:dyDescent="0.25">
      <c r="A741" t="s">
        <v>760</v>
      </c>
      <c r="B741" t="s">
        <v>621</v>
      </c>
      <c r="C741" t="s">
        <v>14</v>
      </c>
      <c r="D741" t="s">
        <v>11</v>
      </c>
      <c r="E741" t="s">
        <v>19</v>
      </c>
    </row>
    <row r="742" spans="1:5" x14ac:dyDescent="0.25">
      <c r="A742" t="s">
        <v>761</v>
      </c>
      <c r="B742" t="s">
        <v>621</v>
      </c>
      <c r="C742" t="s">
        <v>14</v>
      </c>
      <c r="D742" t="s">
        <v>11</v>
      </c>
      <c r="E742" t="s">
        <v>29</v>
      </c>
    </row>
    <row r="743" spans="1:5" x14ac:dyDescent="0.25">
      <c r="A743" t="s">
        <v>762</v>
      </c>
      <c r="B743" t="s">
        <v>621</v>
      </c>
      <c r="C743" t="s">
        <v>14</v>
      </c>
      <c r="D743" t="s">
        <v>11</v>
      </c>
      <c r="E743" t="s">
        <v>9</v>
      </c>
    </row>
    <row r="744" spans="1:5" x14ac:dyDescent="0.25">
      <c r="A744" t="s">
        <v>763</v>
      </c>
      <c r="B744" t="s">
        <v>621</v>
      </c>
      <c r="C744" t="s">
        <v>7</v>
      </c>
      <c r="D744" t="s">
        <v>11</v>
      </c>
      <c r="E744" t="s">
        <v>19</v>
      </c>
    </row>
    <row r="745" spans="1:5" x14ac:dyDescent="0.25">
      <c r="A745" t="s">
        <v>764</v>
      </c>
      <c r="B745" t="s">
        <v>621</v>
      </c>
      <c r="C745" t="s">
        <v>14</v>
      </c>
      <c r="D745" t="s">
        <v>8</v>
      </c>
      <c r="E745" t="s">
        <v>9</v>
      </c>
    </row>
    <row r="746" spans="1:5" x14ac:dyDescent="0.25">
      <c r="A746" t="s">
        <v>765</v>
      </c>
      <c r="B746" t="s">
        <v>621</v>
      </c>
      <c r="C746" t="s">
        <v>14</v>
      </c>
      <c r="D746" t="s">
        <v>11</v>
      </c>
      <c r="E746" t="s">
        <v>29</v>
      </c>
    </row>
    <row r="747" spans="1:5" x14ac:dyDescent="0.25">
      <c r="A747" t="s">
        <v>766</v>
      </c>
      <c r="B747" t="s">
        <v>621</v>
      </c>
      <c r="C747" t="s">
        <v>7</v>
      </c>
      <c r="D747" t="s">
        <v>8</v>
      </c>
      <c r="E747" t="s">
        <v>16</v>
      </c>
    </row>
    <row r="748" spans="1:5" x14ac:dyDescent="0.25">
      <c r="A748" t="s">
        <v>767</v>
      </c>
      <c r="B748" t="s">
        <v>621</v>
      </c>
      <c r="C748" t="s">
        <v>7</v>
      </c>
      <c r="D748" t="s">
        <v>11</v>
      </c>
      <c r="E748" t="s">
        <v>9</v>
      </c>
    </row>
    <row r="749" spans="1:5" x14ac:dyDescent="0.25">
      <c r="A749" t="s">
        <v>768</v>
      </c>
      <c r="B749" t="s">
        <v>621</v>
      </c>
      <c r="C749" t="s">
        <v>14</v>
      </c>
      <c r="D749" t="s">
        <v>11</v>
      </c>
      <c r="E749" t="s">
        <v>12</v>
      </c>
    </row>
    <row r="750" spans="1:5" x14ac:dyDescent="0.25">
      <c r="A750" t="s">
        <v>769</v>
      </c>
      <c r="B750" t="s">
        <v>621</v>
      </c>
      <c r="C750" t="s">
        <v>14</v>
      </c>
      <c r="D750" t="s">
        <v>11</v>
      </c>
      <c r="E750" t="s">
        <v>16</v>
      </c>
    </row>
    <row r="751" spans="1:5" x14ac:dyDescent="0.25">
      <c r="A751" t="s">
        <v>770</v>
      </c>
      <c r="B751" t="s">
        <v>621</v>
      </c>
      <c r="C751" t="s">
        <v>14</v>
      </c>
      <c r="D751" t="s">
        <v>8</v>
      </c>
      <c r="E751" t="s">
        <v>9</v>
      </c>
    </row>
    <row r="752" spans="1:5" x14ac:dyDescent="0.25">
      <c r="A752" t="s">
        <v>771</v>
      </c>
      <c r="B752" t="s">
        <v>621</v>
      </c>
      <c r="C752" t="s">
        <v>14</v>
      </c>
      <c r="D752" t="s">
        <v>11</v>
      </c>
      <c r="E752" t="s">
        <v>9</v>
      </c>
    </row>
    <row r="753" spans="1:5" x14ac:dyDescent="0.25">
      <c r="A753" t="s">
        <v>772</v>
      </c>
      <c r="B753" t="s">
        <v>621</v>
      </c>
      <c r="C753" t="s">
        <v>14</v>
      </c>
      <c r="D753" t="s">
        <v>11</v>
      </c>
      <c r="E753" t="s">
        <v>9</v>
      </c>
    </row>
    <row r="754" spans="1:5" x14ac:dyDescent="0.25">
      <c r="A754" t="s">
        <v>773</v>
      </c>
      <c r="B754" t="s">
        <v>621</v>
      </c>
      <c r="C754" t="s">
        <v>14</v>
      </c>
      <c r="D754" t="s">
        <v>11</v>
      </c>
      <c r="E754" t="s">
        <v>9</v>
      </c>
    </row>
    <row r="755" spans="1:5" x14ac:dyDescent="0.25">
      <c r="A755" t="s">
        <v>774</v>
      </c>
      <c r="B755" t="s">
        <v>621</v>
      </c>
      <c r="C755" t="s">
        <v>14</v>
      </c>
      <c r="D755" t="s">
        <v>11</v>
      </c>
      <c r="E755" t="s">
        <v>9</v>
      </c>
    </row>
    <row r="756" spans="1:5" x14ac:dyDescent="0.25">
      <c r="A756" t="s">
        <v>775</v>
      </c>
      <c r="B756" t="s">
        <v>621</v>
      </c>
      <c r="C756" t="s">
        <v>14</v>
      </c>
      <c r="D756" t="s">
        <v>11</v>
      </c>
      <c r="E756" t="s">
        <v>9</v>
      </c>
    </row>
    <row r="757" spans="1:5" x14ac:dyDescent="0.25">
      <c r="A757" t="s">
        <v>776</v>
      </c>
      <c r="B757" t="s">
        <v>621</v>
      </c>
      <c r="C757" t="s">
        <v>14</v>
      </c>
      <c r="D757" t="s">
        <v>11</v>
      </c>
      <c r="E757" t="s">
        <v>29</v>
      </c>
    </row>
    <row r="758" spans="1:5" x14ac:dyDescent="0.25">
      <c r="A758" t="s">
        <v>777</v>
      </c>
      <c r="B758" t="s">
        <v>621</v>
      </c>
      <c r="C758" t="s">
        <v>14</v>
      </c>
      <c r="D758" t="s">
        <v>11</v>
      </c>
      <c r="E758" t="s">
        <v>9</v>
      </c>
    </row>
    <row r="759" spans="1:5" x14ac:dyDescent="0.25">
      <c r="A759" t="s">
        <v>778</v>
      </c>
      <c r="B759" t="s">
        <v>621</v>
      </c>
      <c r="C759" t="s">
        <v>7</v>
      </c>
      <c r="D759" t="s">
        <v>8</v>
      </c>
      <c r="E759" t="s">
        <v>9</v>
      </c>
    </row>
    <row r="760" spans="1:5" x14ac:dyDescent="0.25">
      <c r="A760" t="s">
        <v>779</v>
      </c>
      <c r="B760" t="s">
        <v>621</v>
      </c>
      <c r="C760" t="s">
        <v>7</v>
      </c>
      <c r="D760" t="s">
        <v>11</v>
      </c>
      <c r="E760" t="s">
        <v>16</v>
      </c>
    </row>
    <row r="761" spans="1:5" x14ac:dyDescent="0.25">
      <c r="A761" t="s">
        <v>780</v>
      </c>
      <c r="B761" t="s">
        <v>621</v>
      </c>
      <c r="C761" t="s">
        <v>7</v>
      </c>
      <c r="D761" t="s">
        <v>8</v>
      </c>
      <c r="E761" t="s">
        <v>16</v>
      </c>
    </row>
    <row r="762" spans="1:5" x14ac:dyDescent="0.25">
      <c r="A762" t="s">
        <v>781</v>
      </c>
      <c r="B762" t="s">
        <v>621</v>
      </c>
      <c r="C762" t="s">
        <v>7</v>
      </c>
      <c r="D762" t="s">
        <v>11</v>
      </c>
      <c r="E762" t="s">
        <v>16</v>
      </c>
    </row>
    <row r="763" spans="1:5" x14ac:dyDescent="0.25">
      <c r="A763" t="s">
        <v>782</v>
      </c>
      <c r="B763" t="s">
        <v>621</v>
      </c>
      <c r="C763" t="s">
        <v>14</v>
      </c>
      <c r="D763" t="s">
        <v>11</v>
      </c>
      <c r="E763" t="s">
        <v>29</v>
      </c>
    </row>
    <row r="764" spans="1:5" x14ac:dyDescent="0.25">
      <c r="A764" t="s">
        <v>783</v>
      </c>
      <c r="B764" t="s">
        <v>621</v>
      </c>
      <c r="C764" t="s">
        <v>7</v>
      </c>
      <c r="D764" t="s">
        <v>11</v>
      </c>
      <c r="E764" t="s">
        <v>12</v>
      </c>
    </row>
    <row r="765" spans="1:5" x14ac:dyDescent="0.25">
      <c r="A765" t="s">
        <v>784</v>
      </c>
      <c r="B765" t="s">
        <v>621</v>
      </c>
      <c r="C765" t="s">
        <v>7</v>
      </c>
      <c r="D765" t="s">
        <v>8</v>
      </c>
      <c r="E765" t="s">
        <v>12</v>
      </c>
    </row>
    <row r="766" spans="1:5" x14ac:dyDescent="0.25">
      <c r="A766" t="s">
        <v>785</v>
      </c>
      <c r="B766" t="s">
        <v>621</v>
      </c>
      <c r="C766" t="s">
        <v>14</v>
      </c>
      <c r="D766" t="s">
        <v>11</v>
      </c>
      <c r="E766" t="s">
        <v>9</v>
      </c>
    </row>
    <row r="767" spans="1:5" x14ac:dyDescent="0.25">
      <c r="A767" t="s">
        <v>786</v>
      </c>
      <c r="B767" t="s">
        <v>621</v>
      </c>
      <c r="C767" t="s">
        <v>7</v>
      </c>
      <c r="D767" t="s">
        <v>8</v>
      </c>
      <c r="E767" t="s">
        <v>16</v>
      </c>
    </row>
    <row r="768" spans="1:5" x14ac:dyDescent="0.25">
      <c r="A768" t="s">
        <v>787</v>
      </c>
      <c r="B768" t="s">
        <v>621</v>
      </c>
      <c r="C768" t="s">
        <v>14</v>
      </c>
      <c r="D768" t="s">
        <v>11</v>
      </c>
      <c r="E768" t="s">
        <v>9</v>
      </c>
    </row>
    <row r="769" spans="1:5" x14ac:dyDescent="0.25">
      <c r="A769" t="s">
        <v>788</v>
      </c>
      <c r="B769" t="s">
        <v>621</v>
      </c>
      <c r="C769" t="s">
        <v>14</v>
      </c>
      <c r="D769" t="s">
        <v>11</v>
      </c>
      <c r="E769" t="s">
        <v>9</v>
      </c>
    </row>
    <row r="770" spans="1:5" x14ac:dyDescent="0.25">
      <c r="A770" t="s">
        <v>789</v>
      </c>
      <c r="B770" t="s">
        <v>621</v>
      </c>
      <c r="C770" t="s">
        <v>14</v>
      </c>
      <c r="D770" t="s">
        <v>11</v>
      </c>
      <c r="E770" t="s">
        <v>9</v>
      </c>
    </row>
    <row r="771" spans="1:5" x14ac:dyDescent="0.25">
      <c r="A771" t="s">
        <v>790</v>
      </c>
      <c r="B771" t="s">
        <v>621</v>
      </c>
      <c r="C771" t="s">
        <v>14</v>
      </c>
      <c r="D771" t="s">
        <v>11</v>
      </c>
      <c r="E771" t="s">
        <v>9</v>
      </c>
    </row>
    <row r="772" spans="1:5" x14ac:dyDescent="0.25">
      <c r="A772" t="s">
        <v>791</v>
      </c>
      <c r="B772" t="s">
        <v>621</v>
      </c>
      <c r="C772" t="s">
        <v>14</v>
      </c>
      <c r="D772" t="s">
        <v>11</v>
      </c>
      <c r="E772" t="s">
        <v>16</v>
      </c>
    </row>
    <row r="773" spans="1:5" x14ac:dyDescent="0.25">
      <c r="A773" t="s">
        <v>792</v>
      </c>
      <c r="B773" t="s">
        <v>621</v>
      </c>
      <c r="C773" t="s">
        <v>7</v>
      </c>
      <c r="D773" t="s">
        <v>8</v>
      </c>
      <c r="E773" t="s">
        <v>29</v>
      </c>
    </row>
    <row r="774" spans="1:5" x14ac:dyDescent="0.25">
      <c r="A774" t="s">
        <v>793</v>
      </c>
      <c r="B774" t="s">
        <v>621</v>
      </c>
      <c r="C774" t="s">
        <v>14</v>
      </c>
      <c r="D774" t="s">
        <v>11</v>
      </c>
      <c r="E774" t="s">
        <v>29</v>
      </c>
    </row>
    <row r="775" spans="1:5" x14ac:dyDescent="0.25">
      <c r="A775" t="s">
        <v>794</v>
      </c>
      <c r="B775" t="s">
        <v>621</v>
      </c>
      <c r="C775" t="s">
        <v>14</v>
      </c>
      <c r="D775" t="s">
        <v>11</v>
      </c>
      <c r="E775" t="s">
        <v>19</v>
      </c>
    </row>
    <row r="776" spans="1:5" x14ac:dyDescent="0.25">
      <c r="A776" t="s">
        <v>795</v>
      </c>
      <c r="B776" t="s">
        <v>621</v>
      </c>
      <c r="C776" t="s">
        <v>14</v>
      </c>
      <c r="D776" t="s">
        <v>11</v>
      </c>
      <c r="E776" t="s">
        <v>19</v>
      </c>
    </row>
    <row r="777" spans="1:5" x14ac:dyDescent="0.25">
      <c r="A777" t="s">
        <v>796</v>
      </c>
      <c r="B777" t="s">
        <v>621</v>
      </c>
      <c r="C777" t="s">
        <v>14</v>
      </c>
      <c r="D777" t="s">
        <v>11</v>
      </c>
      <c r="E777" t="s">
        <v>9</v>
      </c>
    </row>
    <row r="778" spans="1:5" x14ac:dyDescent="0.25">
      <c r="A778" t="s">
        <v>797</v>
      </c>
      <c r="B778" t="s">
        <v>621</v>
      </c>
      <c r="C778" t="s">
        <v>14</v>
      </c>
      <c r="D778" t="s">
        <v>11</v>
      </c>
      <c r="E778" t="s">
        <v>16</v>
      </c>
    </row>
    <row r="779" spans="1:5" x14ac:dyDescent="0.25">
      <c r="A779" t="s">
        <v>798</v>
      </c>
      <c r="B779" t="s">
        <v>621</v>
      </c>
      <c r="C779" t="s">
        <v>7</v>
      </c>
      <c r="D779" t="s">
        <v>11</v>
      </c>
      <c r="E779" t="s">
        <v>29</v>
      </c>
    </row>
    <row r="780" spans="1:5" x14ac:dyDescent="0.25">
      <c r="A780" t="s">
        <v>799</v>
      </c>
      <c r="B780" t="s">
        <v>621</v>
      </c>
      <c r="C780" t="s">
        <v>7</v>
      </c>
      <c r="D780" t="s">
        <v>8</v>
      </c>
      <c r="E780" t="s">
        <v>16</v>
      </c>
    </row>
    <row r="781" spans="1:5" x14ac:dyDescent="0.25">
      <c r="A781" t="s">
        <v>800</v>
      </c>
      <c r="B781" t="s">
        <v>621</v>
      </c>
      <c r="C781" t="s">
        <v>14</v>
      </c>
      <c r="D781" t="s">
        <v>8</v>
      </c>
      <c r="E781" t="s">
        <v>9</v>
      </c>
    </row>
    <row r="782" spans="1:5" x14ac:dyDescent="0.25">
      <c r="A782" t="s">
        <v>801</v>
      </c>
      <c r="B782" t="s">
        <v>621</v>
      </c>
      <c r="C782" t="s">
        <v>7</v>
      </c>
      <c r="D782" t="s">
        <v>8</v>
      </c>
      <c r="E782" t="s">
        <v>9</v>
      </c>
    </row>
    <row r="783" spans="1:5" x14ac:dyDescent="0.25">
      <c r="A783" t="s">
        <v>802</v>
      </c>
      <c r="B783" t="s">
        <v>621</v>
      </c>
      <c r="C783" t="s">
        <v>14</v>
      </c>
      <c r="D783" t="s">
        <v>11</v>
      </c>
      <c r="E783" t="s">
        <v>16</v>
      </c>
    </row>
    <row r="784" spans="1:5" x14ac:dyDescent="0.25">
      <c r="A784" t="s">
        <v>803</v>
      </c>
      <c r="B784" t="s">
        <v>621</v>
      </c>
      <c r="C784" t="s">
        <v>14</v>
      </c>
      <c r="D784" t="s">
        <v>11</v>
      </c>
      <c r="E784" t="s">
        <v>21</v>
      </c>
    </row>
    <row r="785" spans="1:5" x14ac:dyDescent="0.25">
      <c r="A785" t="s">
        <v>804</v>
      </c>
      <c r="B785" t="s">
        <v>621</v>
      </c>
      <c r="C785" t="s">
        <v>7</v>
      </c>
      <c r="D785" t="s">
        <v>11</v>
      </c>
      <c r="E785" t="s">
        <v>9</v>
      </c>
    </row>
    <row r="786" spans="1:5" x14ac:dyDescent="0.25">
      <c r="A786" t="s">
        <v>805</v>
      </c>
      <c r="B786" t="s">
        <v>621</v>
      </c>
      <c r="C786" t="s">
        <v>14</v>
      </c>
      <c r="D786" t="s">
        <v>11</v>
      </c>
      <c r="E786" t="s">
        <v>9</v>
      </c>
    </row>
    <row r="787" spans="1:5" x14ac:dyDescent="0.25">
      <c r="A787" t="s">
        <v>806</v>
      </c>
      <c r="B787" t="s">
        <v>621</v>
      </c>
      <c r="C787" t="s">
        <v>7</v>
      </c>
      <c r="D787" t="s">
        <v>8</v>
      </c>
      <c r="E787" t="s">
        <v>9</v>
      </c>
    </row>
    <row r="788" spans="1:5" x14ac:dyDescent="0.25">
      <c r="A788" t="s">
        <v>807</v>
      </c>
      <c r="B788" t="s">
        <v>621</v>
      </c>
      <c r="C788" t="s">
        <v>14</v>
      </c>
      <c r="D788" t="s">
        <v>11</v>
      </c>
      <c r="E788" t="s">
        <v>29</v>
      </c>
    </row>
    <row r="789" spans="1:5" x14ac:dyDescent="0.25">
      <c r="A789" t="s">
        <v>808</v>
      </c>
      <c r="B789" t="s">
        <v>621</v>
      </c>
      <c r="C789" t="s">
        <v>14</v>
      </c>
      <c r="D789" t="s">
        <v>11</v>
      </c>
      <c r="E789" t="s">
        <v>29</v>
      </c>
    </row>
    <row r="790" spans="1:5" x14ac:dyDescent="0.25">
      <c r="A790" t="s">
        <v>809</v>
      </c>
      <c r="B790" t="s">
        <v>621</v>
      </c>
      <c r="C790" t="s">
        <v>14</v>
      </c>
      <c r="D790" t="s">
        <v>11</v>
      </c>
      <c r="E790" t="s">
        <v>19</v>
      </c>
    </row>
    <row r="791" spans="1:5" x14ac:dyDescent="0.25">
      <c r="A791" t="s">
        <v>810</v>
      </c>
      <c r="B791" t="s">
        <v>621</v>
      </c>
      <c r="C791" t="s">
        <v>14</v>
      </c>
      <c r="D791" t="s">
        <v>11</v>
      </c>
      <c r="E791" t="s">
        <v>9</v>
      </c>
    </row>
    <row r="792" spans="1:5" x14ac:dyDescent="0.25">
      <c r="A792" t="s">
        <v>811</v>
      </c>
      <c r="B792" t="s">
        <v>621</v>
      </c>
      <c r="C792" t="s">
        <v>14</v>
      </c>
      <c r="D792" t="s">
        <v>11</v>
      </c>
      <c r="E792" t="s">
        <v>16</v>
      </c>
    </row>
    <row r="793" spans="1:5" x14ac:dyDescent="0.25">
      <c r="A793" t="s">
        <v>812</v>
      </c>
      <c r="B793" t="s">
        <v>621</v>
      </c>
      <c r="C793" t="s">
        <v>14</v>
      </c>
      <c r="D793" t="s">
        <v>11</v>
      </c>
      <c r="E793" t="s">
        <v>29</v>
      </c>
    </row>
    <row r="794" spans="1:5" x14ac:dyDescent="0.25">
      <c r="A794" t="s">
        <v>813</v>
      </c>
      <c r="B794" t="s">
        <v>621</v>
      </c>
      <c r="C794" t="s">
        <v>14</v>
      </c>
      <c r="D794" t="s">
        <v>11</v>
      </c>
      <c r="E794" t="s">
        <v>29</v>
      </c>
    </row>
    <row r="795" spans="1:5" x14ac:dyDescent="0.25">
      <c r="A795" t="s">
        <v>814</v>
      </c>
      <c r="B795" t="s">
        <v>621</v>
      </c>
      <c r="C795" t="s">
        <v>14</v>
      </c>
      <c r="D795" t="s">
        <v>11</v>
      </c>
      <c r="E795" t="s">
        <v>19</v>
      </c>
    </row>
    <row r="796" spans="1:5" x14ac:dyDescent="0.25">
      <c r="A796" t="s">
        <v>815</v>
      </c>
      <c r="B796" t="s">
        <v>621</v>
      </c>
      <c r="C796" t="s">
        <v>7</v>
      </c>
      <c r="D796" t="s">
        <v>8</v>
      </c>
      <c r="E796" t="s">
        <v>12</v>
      </c>
    </row>
    <row r="797" spans="1:5" x14ac:dyDescent="0.25">
      <c r="A797" t="s">
        <v>816</v>
      </c>
      <c r="B797" t="s">
        <v>621</v>
      </c>
      <c r="C797" t="s">
        <v>14</v>
      </c>
      <c r="D797" t="s">
        <v>11</v>
      </c>
      <c r="E797" t="s">
        <v>9</v>
      </c>
    </row>
    <row r="798" spans="1:5" x14ac:dyDescent="0.25">
      <c r="A798" t="s">
        <v>817</v>
      </c>
      <c r="B798" t="s">
        <v>621</v>
      </c>
      <c r="C798" t="s">
        <v>14</v>
      </c>
      <c r="D798" t="s">
        <v>11</v>
      </c>
      <c r="E798" t="s">
        <v>19</v>
      </c>
    </row>
    <row r="799" spans="1:5" x14ac:dyDescent="0.25">
      <c r="A799" t="s">
        <v>818</v>
      </c>
      <c r="B799" t="s">
        <v>621</v>
      </c>
      <c r="C799" t="s">
        <v>14</v>
      </c>
      <c r="D799" t="s">
        <v>11</v>
      </c>
      <c r="E799" t="s">
        <v>19</v>
      </c>
    </row>
    <row r="800" spans="1:5" x14ac:dyDescent="0.25">
      <c r="A800" t="s">
        <v>819</v>
      </c>
      <c r="B800" t="s">
        <v>621</v>
      </c>
      <c r="C800" t="s">
        <v>7</v>
      </c>
      <c r="D800" t="s">
        <v>11</v>
      </c>
      <c r="E800" t="s">
        <v>9</v>
      </c>
    </row>
    <row r="801" spans="1:5" x14ac:dyDescent="0.25">
      <c r="A801" t="s">
        <v>820</v>
      </c>
      <c r="B801" t="s">
        <v>621</v>
      </c>
      <c r="C801" t="s">
        <v>14</v>
      </c>
      <c r="D801" t="s">
        <v>11</v>
      </c>
      <c r="E801" t="s">
        <v>29</v>
      </c>
    </row>
    <row r="802" spans="1:5" x14ac:dyDescent="0.25">
      <c r="A802" t="s">
        <v>821</v>
      </c>
      <c r="B802" t="s">
        <v>621</v>
      </c>
      <c r="C802" t="s">
        <v>14</v>
      </c>
      <c r="D802" t="s">
        <v>8</v>
      </c>
      <c r="E802" t="s">
        <v>9</v>
      </c>
    </row>
    <row r="803" spans="1:5" x14ac:dyDescent="0.25">
      <c r="A803" t="s">
        <v>822</v>
      </c>
      <c r="B803" t="s">
        <v>621</v>
      </c>
      <c r="C803" t="s">
        <v>14</v>
      </c>
      <c r="D803" t="s">
        <v>11</v>
      </c>
      <c r="E803" t="s">
        <v>9</v>
      </c>
    </row>
    <row r="804" spans="1:5" x14ac:dyDescent="0.25">
      <c r="A804" t="s">
        <v>823</v>
      </c>
      <c r="B804" t="s">
        <v>621</v>
      </c>
      <c r="C804" t="s">
        <v>14</v>
      </c>
      <c r="D804" t="s">
        <v>11</v>
      </c>
      <c r="E804" t="s">
        <v>9</v>
      </c>
    </row>
    <row r="805" spans="1:5" x14ac:dyDescent="0.25">
      <c r="A805" t="s">
        <v>824</v>
      </c>
      <c r="B805" t="s">
        <v>621</v>
      </c>
      <c r="C805" t="s">
        <v>14</v>
      </c>
      <c r="D805" t="s">
        <v>11</v>
      </c>
      <c r="E805" t="s">
        <v>9</v>
      </c>
    </row>
    <row r="806" spans="1:5" x14ac:dyDescent="0.25">
      <c r="A806" t="s">
        <v>825</v>
      </c>
      <c r="B806" t="s">
        <v>621</v>
      </c>
      <c r="C806" t="s">
        <v>14</v>
      </c>
      <c r="D806" t="s">
        <v>11</v>
      </c>
      <c r="E806" t="s">
        <v>9</v>
      </c>
    </row>
    <row r="807" spans="1:5" x14ac:dyDescent="0.25">
      <c r="A807" t="s">
        <v>826</v>
      </c>
      <c r="B807" t="s">
        <v>621</v>
      </c>
      <c r="C807" t="s">
        <v>7</v>
      </c>
      <c r="D807" t="s">
        <v>11</v>
      </c>
      <c r="E807" t="s">
        <v>9</v>
      </c>
    </row>
    <row r="808" spans="1:5" x14ac:dyDescent="0.25">
      <c r="A808" t="s">
        <v>827</v>
      </c>
      <c r="B808" t="s">
        <v>621</v>
      </c>
      <c r="C808" t="s">
        <v>14</v>
      </c>
      <c r="D808" t="s">
        <v>8</v>
      </c>
      <c r="E808" t="s">
        <v>9</v>
      </c>
    </row>
    <row r="809" spans="1:5" x14ac:dyDescent="0.25">
      <c r="A809" t="s">
        <v>828</v>
      </c>
      <c r="B809" t="s">
        <v>621</v>
      </c>
      <c r="C809" t="s">
        <v>14</v>
      </c>
      <c r="D809" t="s">
        <v>8</v>
      </c>
      <c r="E809" t="s">
        <v>12</v>
      </c>
    </row>
    <row r="810" spans="1:5" x14ac:dyDescent="0.25">
      <c r="A810" t="s">
        <v>829</v>
      </c>
      <c r="B810" t="s">
        <v>621</v>
      </c>
      <c r="C810" t="s">
        <v>14</v>
      </c>
      <c r="D810" t="s">
        <v>11</v>
      </c>
      <c r="E810" t="s">
        <v>9</v>
      </c>
    </row>
    <row r="811" spans="1:5" x14ac:dyDescent="0.25">
      <c r="A811" t="s">
        <v>830</v>
      </c>
      <c r="B811" t="s">
        <v>621</v>
      </c>
      <c r="C811" t="s">
        <v>14</v>
      </c>
      <c r="D811" t="s">
        <v>11</v>
      </c>
      <c r="E811" t="s">
        <v>29</v>
      </c>
    </row>
    <row r="812" spans="1:5" x14ac:dyDescent="0.25">
      <c r="A812" t="s">
        <v>831</v>
      </c>
      <c r="B812" t="s">
        <v>621</v>
      </c>
      <c r="C812" t="s">
        <v>14</v>
      </c>
      <c r="D812" t="s">
        <v>11</v>
      </c>
      <c r="E812" t="s">
        <v>29</v>
      </c>
    </row>
    <row r="813" spans="1:5" x14ac:dyDescent="0.25">
      <c r="A813" t="s">
        <v>832</v>
      </c>
      <c r="B813" t="s">
        <v>621</v>
      </c>
      <c r="C813" t="s">
        <v>14</v>
      </c>
      <c r="D813" t="s">
        <v>8</v>
      </c>
      <c r="E813" t="s">
        <v>19</v>
      </c>
    </row>
    <row r="814" spans="1:5" x14ac:dyDescent="0.25">
      <c r="A814" t="s">
        <v>833</v>
      </c>
      <c r="B814" t="s">
        <v>621</v>
      </c>
      <c r="C814" t="s">
        <v>14</v>
      </c>
      <c r="D814" t="s">
        <v>11</v>
      </c>
      <c r="E814" t="s">
        <v>9</v>
      </c>
    </row>
    <row r="815" spans="1:5" x14ac:dyDescent="0.25">
      <c r="A815" t="s">
        <v>834</v>
      </c>
      <c r="B815" t="s">
        <v>621</v>
      </c>
      <c r="C815" t="s">
        <v>14</v>
      </c>
      <c r="D815" t="s">
        <v>11</v>
      </c>
      <c r="E815" t="s">
        <v>9</v>
      </c>
    </row>
    <row r="816" spans="1:5" x14ac:dyDescent="0.25">
      <c r="A816" t="s">
        <v>835</v>
      </c>
      <c r="B816" t="s">
        <v>621</v>
      </c>
      <c r="C816" t="s">
        <v>14</v>
      </c>
      <c r="D816" t="s">
        <v>11</v>
      </c>
      <c r="E816" t="s">
        <v>9</v>
      </c>
    </row>
    <row r="817" spans="1:5" x14ac:dyDescent="0.25">
      <c r="A817" t="s">
        <v>836</v>
      </c>
      <c r="B817" t="s">
        <v>621</v>
      </c>
      <c r="C817" t="s">
        <v>14</v>
      </c>
      <c r="D817" t="s">
        <v>11</v>
      </c>
      <c r="E817" t="s">
        <v>9</v>
      </c>
    </row>
    <row r="818" spans="1:5" x14ac:dyDescent="0.25">
      <c r="A818" t="s">
        <v>837</v>
      </c>
      <c r="B818" t="s">
        <v>621</v>
      </c>
      <c r="C818" t="s">
        <v>14</v>
      </c>
      <c r="D818" t="s">
        <v>11</v>
      </c>
      <c r="E818" t="s">
        <v>9</v>
      </c>
    </row>
    <row r="819" spans="1:5" x14ac:dyDescent="0.25">
      <c r="A819" t="s">
        <v>838</v>
      </c>
      <c r="B819" t="s">
        <v>621</v>
      </c>
      <c r="C819" t="s">
        <v>14</v>
      </c>
      <c r="D819" t="s">
        <v>11</v>
      </c>
      <c r="E819" t="s">
        <v>9</v>
      </c>
    </row>
    <row r="820" spans="1:5" x14ac:dyDescent="0.25">
      <c r="A820" t="s">
        <v>839</v>
      </c>
      <c r="B820" t="s">
        <v>621</v>
      </c>
      <c r="C820" t="s">
        <v>7</v>
      </c>
      <c r="D820" t="s">
        <v>8</v>
      </c>
      <c r="E820" t="s">
        <v>29</v>
      </c>
    </row>
    <row r="821" spans="1:5" x14ac:dyDescent="0.25">
      <c r="A821" t="s">
        <v>840</v>
      </c>
      <c r="B821" t="s">
        <v>621</v>
      </c>
      <c r="C821" t="s">
        <v>7</v>
      </c>
      <c r="D821" t="s">
        <v>8</v>
      </c>
      <c r="E821" t="s">
        <v>9</v>
      </c>
    </row>
    <row r="822" spans="1:5" x14ac:dyDescent="0.25">
      <c r="A822" t="s">
        <v>841</v>
      </c>
      <c r="B822" t="s">
        <v>621</v>
      </c>
      <c r="C822" t="s">
        <v>7</v>
      </c>
      <c r="D822" t="s">
        <v>11</v>
      </c>
      <c r="E822" t="s">
        <v>12</v>
      </c>
    </row>
    <row r="823" spans="1:5" x14ac:dyDescent="0.25">
      <c r="A823" t="s">
        <v>842</v>
      </c>
      <c r="B823" t="s">
        <v>621</v>
      </c>
      <c r="C823" t="s">
        <v>14</v>
      </c>
      <c r="D823" t="s">
        <v>11</v>
      </c>
      <c r="E823" t="s">
        <v>16</v>
      </c>
    </row>
    <row r="824" spans="1:5" x14ac:dyDescent="0.25">
      <c r="A824" t="s">
        <v>843</v>
      </c>
      <c r="B824" t="s">
        <v>621</v>
      </c>
      <c r="C824" t="s">
        <v>14</v>
      </c>
      <c r="D824" t="s">
        <v>11</v>
      </c>
      <c r="E824" t="s">
        <v>19</v>
      </c>
    </row>
    <row r="825" spans="1:5" x14ac:dyDescent="0.25">
      <c r="A825" t="s">
        <v>844</v>
      </c>
      <c r="B825" t="s">
        <v>621</v>
      </c>
      <c r="C825" t="s">
        <v>7</v>
      </c>
      <c r="D825" t="s">
        <v>8</v>
      </c>
      <c r="E825" t="s">
        <v>16</v>
      </c>
    </row>
    <row r="826" spans="1:5" x14ac:dyDescent="0.25">
      <c r="A826" t="s">
        <v>845</v>
      </c>
      <c r="B826" t="s">
        <v>621</v>
      </c>
      <c r="C826" t="s">
        <v>14</v>
      </c>
      <c r="D826" t="s">
        <v>11</v>
      </c>
      <c r="E826" t="s">
        <v>16</v>
      </c>
    </row>
    <row r="827" spans="1:5" x14ac:dyDescent="0.25">
      <c r="A827" t="s">
        <v>846</v>
      </c>
      <c r="B827" t="s">
        <v>621</v>
      </c>
      <c r="C827" t="s">
        <v>14</v>
      </c>
      <c r="D827" t="s">
        <v>11</v>
      </c>
      <c r="E827" t="s">
        <v>12</v>
      </c>
    </row>
    <row r="828" spans="1:5" x14ac:dyDescent="0.25">
      <c r="A828" t="s">
        <v>847</v>
      </c>
      <c r="B828" t="s">
        <v>621</v>
      </c>
      <c r="C828" t="s">
        <v>14</v>
      </c>
      <c r="D828" t="s">
        <v>11</v>
      </c>
      <c r="E828" t="s">
        <v>12</v>
      </c>
    </row>
    <row r="829" spans="1:5" x14ac:dyDescent="0.25">
      <c r="A829" t="s">
        <v>848</v>
      </c>
      <c r="B829" t="s">
        <v>621</v>
      </c>
      <c r="C829" t="s">
        <v>14</v>
      </c>
      <c r="D829" t="s">
        <v>11</v>
      </c>
      <c r="E829" t="s">
        <v>29</v>
      </c>
    </row>
    <row r="830" spans="1:5" x14ac:dyDescent="0.25">
      <c r="A830" t="s">
        <v>849</v>
      </c>
      <c r="B830" t="s">
        <v>621</v>
      </c>
      <c r="C830" t="s">
        <v>14</v>
      </c>
      <c r="D830" t="s">
        <v>8</v>
      </c>
      <c r="E830" t="s">
        <v>29</v>
      </c>
    </row>
    <row r="831" spans="1:5" x14ac:dyDescent="0.25">
      <c r="A831" t="s">
        <v>850</v>
      </c>
      <c r="B831" t="s">
        <v>621</v>
      </c>
      <c r="C831" t="s">
        <v>14</v>
      </c>
      <c r="D831" t="s">
        <v>8</v>
      </c>
      <c r="E831" t="s">
        <v>29</v>
      </c>
    </row>
    <row r="832" spans="1:5" x14ac:dyDescent="0.25">
      <c r="A832" t="s">
        <v>851</v>
      </c>
      <c r="B832" t="s">
        <v>621</v>
      </c>
      <c r="C832" t="s">
        <v>14</v>
      </c>
      <c r="D832" t="s">
        <v>11</v>
      </c>
      <c r="E832" t="s">
        <v>29</v>
      </c>
    </row>
    <row r="833" spans="1:5" x14ac:dyDescent="0.25">
      <c r="A833" t="s">
        <v>852</v>
      </c>
      <c r="B833" t="s">
        <v>621</v>
      </c>
      <c r="C833" t="s">
        <v>14</v>
      </c>
      <c r="D833" t="s">
        <v>11</v>
      </c>
      <c r="E833" t="s">
        <v>19</v>
      </c>
    </row>
    <row r="834" spans="1:5" x14ac:dyDescent="0.25">
      <c r="A834" t="s">
        <v>853</v>
      </c>
      <c r="B834" t="s">
        <v>621</v>
      </c>
      <c r="C834" t="s">
        <v>14</v>
      </c>
      <c r="D834" t="s">
        <v>8</v>
      </c>
      <c r="E834" t="s">
        <v>19</v>
      </c>
    </row>
    <row r="835" spans="1:5" x14ac:dyDescent="0.25">
      <c r="A835" t="s">
        <v>854</v>
      </c>
      <c r="B835" t="s">
        <v>621</v>
      </c>
      <c r="C835" t="s">
        <v>14</v>
      </c>
      <c r="D835" t="s">
        <v>11</v>
      </c>
      <c r="E835" t="s">
        <v>24</v>
      </c>
    </row>
    <row r="836" spans="1:5" x14ac:dyDescent="0.25">
      <c r="A836" t="s">
        <v>855</v>
      </c>
      <c r="B836" t="s">
        <v>621</v>
      </c>
      <c r="C836" t="s">
        <v>14</v>
      </c>
      <c r="D836" t="s">
        <v>11</v>
      </c>
      <c r="E836" t="s">
        <v>16</v>
      </c>
    </row>
    <row r="837" spans="1:5" x14ac:dyDescent="0.25">
      <c r="A837" t="s">
        <v>856</v>
      </c>
      <c r="B837" t="s">
        <v>621</v>
      </c>
      <c r="C837" t="s">
        <v>14</v>
      </c>
      <c r="D837" t="s">
        <v>11</v>
      </c>
      <c r="E837" t="s">
        <v>9</v>
      </c>
    </row>
    <row r="838" spans="1:5" x14ac:dyDescent="0.25">
      <c r="A838" t="s">
        <v>857</v>
      </c>
      <c r="B838" t="s">
        <v>621</v>
      </c>
      <c r="C838" t="s">
        <v>14</v>
      </c>
      <c r="D838" t="s">
        <v>11</v>
      </c>
      <c r="E838" t="s">
        <v>9</v>
      </c>
    </row>
    <row r="839" spans="1:5" x14ac:dyDescent="0.25">
      <c r="A839" t="s">
        <v>858</v>
      </c>
      <c r="B839" t="s">
        <v>621</v>
      </c>
      <c r="C839" t="s">
        <v>14</v>
      </c>
      <c r="D839" t="s">
        <v>11</v>
      </c>
      <c r="E839" t="s">
        <v>16</v>
      </c>
    </row>
    <row r="840" spans="1:5" x14ac:dyDescent="0.25">
      <c r="A840" t="s">
        <v>859</v>
      </c>
      <c r="B840" t="s">
        <v>621</v>
      </c>
      <c r="C840" t="s">
        <v>14</v>
      </c>
      <c r="D840" t="s">
        <v>11</v>
      </c>
      <c r="E840" t="s">
        <v>9</v>
      </c>
    </row>
    <row r="841" spans="1:5" x14ac:dyDescent="0.25">
      <c r="A841" t="s">
        <v>860</v>
      </c>
      <c r="B841" t="s">
        <v>621</v>
      </c>
      <c r="C841" t="s">
        <v>14</v>
      </c>
      <c r="D841" t="s">
        <v>11</v>
      </c>
      <c r="E841" t="s">
        <v>29</v>
      </c>
    </row>
    <row r="842" spans="1:5" x14ac:dyDescent="0.25">
      <c r="A842" t="s">
        <v>861</v>
      </c>
      <c r="B842" t="s">
        <v>621</v>
      </c>
      <c r="C842" t="s">
        <v>14</v>
      </c>
      <c r="D842" t="s">
        <v>8</v>
      </c>
      <c r="E842" t="s">
        <v>9</v>
      </c>
    </row>
    <row r="843" spans="1:5" x14ac:dyDescent="0.25">
      <c r="A843" t="s">
        <v>862</v>
      </c>
      <c r="B843" t="s">
        <v>621</v>
      </c>
      <c r="C843" t="s">
        <v>14</v>
      </c>
      <c r="D843" t="s">
        <v>8</v>
      </c>
      <c r="E843" t="s">
        <v>29</v>
      </c>
    </row>
    <row r="844" spans="1:5" x14ac:dyDescent="0.25">
      <c r="A844" t="s">
        <v>863</v>
      </c>
      <c r="B844" t="s">
        <v>621</v>
      </c>
      <c r="C844" t="s">
        <v>14</v>
      </c>
      <c r="D844" t="s">
        <v>11</v>
      </c>
      <c r="E844" t="s">
        <v>9</v>
      </c>
    </row>
    <row r="845" spans="1:5" x14ac:dyDescent="0.25">
      <c r="A845" t="s">
        <v>864</v>
      </c>
      <c r="B845" t="s">
        <v>621</v>
      </c>
      <c r="C845" t="s">
        <v>14</v>
      </c>
      <c r="D845" t="s">
        <v>11</v>
      </c>
      <c r="E845" t="s">
        <v>9</v>
      </c>
    </row>
    <row r="846" spans="1:5" x14ac:dyDescent="0.25">
      <c r="A846" t="s">
        <v>865</v>
      </c>
      <c r="B846" t="s">
        <v>621</v>
      </c>
      <c r="C846" t="s">
        <v>14</v>
      </c>
      <c r="D846" t="s">
        <v>11</v>
      </c>
      <c r="E846" t="s">
        <v>9</v>
      </c>
    </row>
    <row r="847" spans="1:5" x14ac:dyDescent="0.25">
      <c r="A847" t="s">
        <v>866</v>
      </c>
      <c r="B847" t="s">
        <v>621</v>
      </c>
      <c r="C847" t="s">
        <v>7</v>
      </c>
      <c r="D847" t="s">
        <v>8</v>
      </c>
      <c r="E847" t="s">
        <v>9</v>
      </c>
    </row>
    <row r="848" spans="1:5" x14ac:dyDescent="0.25">
      <c r="A848" t="s">
        <v>867</v>
      </c>
      <c r="B848" t="s">
        <v>621</v>
      </c>
      <c r="C848" t="s">
        <v>14</v>
      </c>
      <c r="D848" t="s">
        <v>11</v>
      </c>
      <c r="E848" t="s">
        <v>9</v>
      </c>
    </row>
    <row r="849" spans="1:5" x14ac:dyDescent="0.25">
      <c r="A849" t="s">
        <v>868</v>
      </c>
      <c r="B849" t="s">
        <v>621</v>
      </c>
      <c r="C849" t="s">
        <v>14</v>
      </c>
      <c r="D849" t="s">
        <v>11</v>
      </c>
      <c r="E849" t="s">
        <v>9</v>
      </c>
    </row>
    <row r="850" spans="1:5" x14ac:dyDescent="0.25">
      <c r="A850" t="s">
        <v>869</v>
      </c>
      <c r="B850" t="s">
        <v>621</v>
      </c>
      <c r="C850" t="s">
        <v>14</v>
      </c>
      <c r="D850" t="s">
        <v>11</v>
      </c>
      <c r="E850" t="s">
        <v>19</v>
      </c>
    </row>
    <row r="851" spans="1:5" x14ac:dyDescent="0.25">
      <c r="A851" t="s">
        <v>870</v>
      </c>
      <c r="B851" t="s">
        <v>621</v>
      </c>
      <c r="C851" t="s">
        <v>14</v>
      </c>
      <c r="D851" t="s">
        <v>11</v>
      </c>
      <c r="E851" t="s">
        <v>9</v>
      </c>
    </row>
    <row r="852" spans="1:5" x14ac:dyDescent="0.25">
      <c r="A852" t="s">
        <v>871</v>
      </c>
      <c r="B852" t="s">
        <v>621</v>
      </c>
      <c r="C852" t="s">
        <v>14</v>
      </c>
      <c r="D852" t="s">
        <v>11</v>
      </c>
      <c r="E852" t="s">
        <v>9</v>
      </c>
    </row>
    <row r="853" spans="1:5" x14ac:dyDescent="0.25">
      <c r="A853" t="s">
        <v>872</v>
      </c>
      <c r="B853" t="s">
        <v>621</v>
      </c>
      <c r="C853" t="s">
        <v>7</v>
      </c>
      <c r="D853" t="s">
        <v>8</v>
      </c>
      <c r="E853" t="s">
        <v>19</v>
      </c>
    </row>
    <row r="854" spans="1:5" x14ac:dyDescent="0.25">
      <c r="A854" t="s">
        <v>873</v>
      </c>
      <c r="B854" t="s">
        <v>621</v>
      </c>
      <c r="C854" t="s">
        <v>14</v>
      </c>
      <c r="D854" t="s">
        <v>8</v>
      </c>
      <c r="E854" t="s">
        <v>9</v>
      </c>
    </row>
    <row r="855" spans="1:5" x14ac:dyDescent="0.25">
      <c r="A855" t="s">
        <v>874</v>
      </c>
      <c r="B855" t="s">
        <v>621</v>
      </c>
      <c r="C855" t="s">
        <v>14</v>
      </c>
      <c r="D855" t="s">
        <v>11</v>
      </c>
      <c r="E855" t="s">
        <v>9</v>
      </c>
    </row>
    <row r="856" spans="1:5" x14ac:dyDescent="0.25">
      <c r="A856" t="s">
        <v>875</v>
      </c>
      <c r="B856" t="s">
        <v>621</v>
      </c>
      <c r="C856" t="s">
        <v>14</v>
      </c>
      <c r="D856" t="s">
        <v>11</v>
      </c>
      <c r="E856" t="s">
        <v>9</v>
      </c>
    </row>
    <row r="857" spans="1:5" x14ac:dyDescent="0.25">
      <c r="A857" t="s">
        <v>876</v>
      </c>
      <c r="B857" t="s">
        <v>621</v>
      </c>
      <c r="C857" t="s">
        <v>14</v>
      </c>
      <c r="D857" t="s">
        <v>11</v>
      </c>
      <c r="E857" t="s">
        <v>29</v>
      </c>
    </row>
    <row r="858" spans="1:5" x14ac:dyDescent="0.25">
      <c r="A858" t="s">
        <v>877</v>
      </c>
      <c r="B858" t="s">
        <v>621</v>
      </c>
      <c r="C858" t="s">
        <v>7</v>
      </c>
      <c r="D858" t="s">
        <v>8</v>
      </c>
      <c r="E858" t="s">
        <v>9</v>
      </c>
    </row>
    <row r="859" spans="1:5" x14ac:dyDescent="0.25">
      <c r="A859" t="s">
        <v>878</v>
      </c>
      <c r="B859" t="s">
        <v>621</v>
      </c>
      <c r="C859" t="s">
        <v>7</v>
      </c>
      <c r="D859" t="s">
        <v>11</v>
      </c>
      <c r="E859" t="s">
        <v>9</v>
      </c>
    </row>
    <row r="860" spans="1:5" x14ac:dyDescent="0.25">
      <c r="A860" t="s">
        <v>879</v>
      </c>
      <c r="B860" t="s">
        <v>621</v>
      </c>
      <c r="C860" t="s">
        <v>7</v>
      </c>
      <c r="D860" t="s">
        <v>11</v>
      </c>
      <c r="E860" t="s">
        <v>9</v>
      </c>
    </row>
    <row r="861" spans="1:5" x14ac:dyDescent="0.25">
      <c r="A861" t="s">
        <v>880</v>
      </c>
      <c r="B861" t="s">
        <v>621</v>
      </c>
      <c r="C861" t="s">
        <v>14</v>
      </c>
      <c r="D861" t="s">
        <v>8</v>
      </c>
      <c r="E861" t="s">
        <v>29</v>
      </c>
    </row>
    <row r="862" spans="1:5" x14ac:dyDescent="0.25">
      <c r="A862" t="s">
        <v>881</v>
      </c>
      <c r="B862" t="s">
        <v>621</v>
      </c>
      <c r="C862" t="s">
        <v>7</v>
      </c>
      <c r="D862" t="s">
        <v>8</v>
      </c>
      <c r="E862" t="s">
        <v>9</v>
      </c>
    </row>
    <row r="863" spans="1:5" x14ac:dyDescent="0.25">
      <c r="A863" t="s">
        <v>882</v>
      </c>
      <c r="B863" t="s">
        <v>621</v>
      </c>
      <c r="C863" t="s">
        <v>14</v>
      </c>
      <c r="D863" t="s">
        <v>8</v>
      </c>
      <c r="E863" t="s">
        <v>9</v>
      </c>
    </row>
    <row r="864" spans="1:5" x14ac:dyDescent="0.25">
      <c r="A864" t="s">
        <v>883</v>
      </c>
      <c r="B864" t="s">
        <v>621</v>
      </c>
      <c r="C864" t="s">
        <v>7</v>
      </c>
      <c r="D864" t="s">
        <v>8</v>
      </c>
      <c r="E864" t="s">
        <v>9</v>
      </c>
    </row>
    <row r="865" spans="1:5" x14ac:dyDescent="0.25">
      <c r="A865" t="s">
        <v>884</v>
      </c>
      <c r="B865" t="s">
        <v>621</v>
      </c>
      <c r="C865" t="s">
        <v>14</v>
      </c>
      <c r="D865" t="s">
        <v>11</v>
      </c>
      <c r="E865" t="s">
        <v>9</v>
      </c>
    </row>
    <row r="866" spans="1:5" x14ac:dyDescent="0.25">
      <c r="A866" t="s">
        <v>885</v>
      </c>
      <c r="B866" t="s">
        <v>621</v>
      </c>
      <c r="C866" t="s">
        <v>14</v>
      </c>
      <c r="D866" t="s">
        <v>8</v>
      </c>
      <c r="E866" t="s">
        <v>9</v>
      </c>
    </row>
    <row r="867" spans="1:5" x14ac:dyDescent="0.25">
      <c r="A867" t="s">
        <v>886</v>
      </c>
      <c r="B867" t="s">
        <v>621</v>
      </c>
      <c r="C867" t="s">
        <v>14</v>
      </c>
      <c r="D867" t="s">
        <v>8</v>
      </c>
      <c r="E867" t="s">
        <v>9</v>
      </c>
    </row>
    <row r="868" spans="1:5" x14ac:dyDescent="0.25">
      <c r="A868" t="s">
        <v>887</v>
      </c>
      <c r="B868" t="s">
        <v>621</v>
      </c>
      <c r="C868" t="s">
        <v>7</v>
      </c>
      <c r="D868" t="s">
        <v>8</v>
      </c>
      <c r="E868" t="s">
        <v>12</v>
      </c>
    </row>
    <row r="869" spans="1:5" x14ac:dyDescent="0.25">
      <c r="A869" t="s">
        <v>888</v>
      </c>
      <c r="B869" t="s">
        <v>621</v>
      </c>
      <c r="C869" t="s">
        <v>7</v>
      </c>
      <c r="D869" t="s">
        <v>8</v>
      </c>
      <c r="E869" t="s">
        <v>9</v>
      </c>
    </row>
    <row r="870" spans="1:5" x14ac:dyDescent="0.25">
      <c r="A870" t="s">
        <v>889</v>
      </c>
      <c r="B870" t="s">
        <v>621</v>
      </c>
      <c r="C870" t="s">
        <v>14</v>
      </c>
      <c r="D870" t="s">
        <v>11</v>
      </c>
      <c r="E870" t="s">
        <v>19</v>
      </c>
    </row>
    <row r="871" spans="1:5" x14ac:dyDescent="0.25">
      <c r="A871" t="s">
        <v>890</v>
      </c>
      <c r="B871" t="s">
        <v>621</v>
      </c>
      <c r="C871" t="s">
        <v>14</v>
      </c>
      <c r="D871" t="s">
        <v>11</v>
      </c>
      <c r="E871" t="s">
        <v>9</v>
      </c>
    </row>
    <row r="872" spans="1:5" x14ac:dyDescent="0.25">
      <c r="A872" t="s">
        <v>891</v>
      </c>
      <c r="B872" t="s">
        <v>621</v>
      </c>
      <c r="C872" t="s">
        <v>7</v>
      </c>
      <c r="D872" t="s">
        <v>8</v>
      </c>
      <c r="E872" t="s">
        <v>9</v>
      </c>
    </row>
    <row r="873" spans="1:5" x14ac:dyDescent="0.25">
      <c r="A873" t="s">
        <v>892</v>
      </c>
      <c r="B873" t="s">
        <v>621</v>
      </c>
      <c r="C873" t="s">
        <v>14</v>
      </c>
      <c r="D873" t="s">
        <v>11</v>
      </c>
      <c r="E873" t="s">
        <v>9</v>
      </c>
    </row>
    <row r="874" spans="1:5" x14ac:dyDescent="0.25">
      <c r="A874" t="s">
        <v>893</v>
      </c>
      <c r="B874" t="s">
        <v>621</v>
      </c>
      <c r="C874" t="s">
        <v>7</v>
      </c>
      <c r="D874" t="s">
        <v>8</v>
      </c>
      <c r="E874" t="s">
        <v>9</v>
      </c>
    </row>
    <row r="875" spans="1:5" x14ac:dyDescent="0.25">
      <c r="A875" t="s">
        <v>894</v>
      </c>
      <c r="B875" t="s">
        <v>621</v>
      </c>
      <c r="C875" t="s">
        <v>14</v>
      </c>
      <c r="D875" t="s">
        <v>11</v>
      </c>
      <c r="E875" t="s">
        <v>19</v>
      </c>
    </row>
    <row r="876" spans="1:5" x14ac:dyDescent="0.25">
      <c r="A876" t="s">
        <v>895</v>
      </c>
      <c r="B876" t="s">
        <v>621</v>
      </c>
      <c r="C876" t="s">
        <v>7</v>
      </c>
      <c r="D876" t="s">
        <v>11</v>
      </c>
      <c r="E876" t="s">
        <v>9</v>
      </c>
    </row>
    <row r="877" spans="1:5" x14ac:dyDescent="0.25">
      <c r="A877" t="s">
        <v>896</v>
      </c>
      <c r="B877" t="s">
        <v>621</v>
      </c>
      <c r="C877" t="s">
        <v>14</v>
      </c>
      <c r="D877" t="s">
        <v>11</v>
      </c>
      <c r="E877" t="s">
        <v>16</v>
      </c>
    </row>
    <row r="878" spans="1:5" x14ac:dyDescent="0.25">
      <c r="A878" t="s">
        <v>897</v>
      </c>
      <c r="B878" t="s">
        <v>621</v>
      </c>
      <c r="C878" t="s">
        <v>14</v>
      </c>
      <c r="D878" t="s">
        <v>11</v>
      </c>
      <c r="E878" t="s">
        <v>9</v>
      </c>
    </row>
    <row r="879" spans="1:5" x14ac:dyDescent="0.25">
      <c r="A879" t="s">
        <v>898</v>
      </c>
      <c r="B879" t="s">
        <v>621</v>
      </c>
      <c r="C879" t="s">
        <v>14</v>
      </c>
      <c r="D879" t="s">
        <v>8</v>
      </c>
      <c r="E879" t="s">
        <v>9</v>
      </c>
    </row>
    <row r="880" spans="1:5" x14ac:dyDescent="0.25">
      <c r="A880" t="s">
        <v>899</v>
      </c>
      <c r="B880" t="s">
        <v>621</v>
      </c>
      <c r="C880" t="s">
        <v>14</v>
      </c>
      <c r="D880" t="s">
        <v>8</v>
      </c>
      <c r="E880" t="s">
        <v>9</v>
      </c>
    </row>
    <row r="881" spans="1:5" x14ac:dyDescent="0.25">
      <c r="A881" t="s">
        <v>900</v>
      </c>
      <c r="B881" t="s">
        <v>621</v>
      </c>
      <c r="C881" t="s">
        <v>14</v>
      </c>
      <c r="D881" t="s">
        <v>11</v>
      </c>
      <c r="E881" t="s">
        <v>9</v>
      </c>
    </row>
    <row r="882" spans="1:5" x14ac:dyDescent="0.25">
      <c r="A882" t="s">
        <v>901</v>
      </c>
      <c r="B882" t="s">
        <v>621</v>
      </c>
      <c r="C882" t="s">
        <v>7</v>
      </c>
      <c r="D882" t="s">
        <v>11</v>
      </c>
      <c r="E882" t="s">
        <v>9</v>
      </c>
    </row>
    <row r="883" spans="1:5" x14ac:dyDescent="0.25">
      <c r="A883" t="s">
        <v>902</v>
      </c>
      <c r="B883" t="s">
        <v>621</v>
      </c>
      <c r="C883" t="s">
        <v>7</v>
      </c>
      <c r="D883" t="s">
        <v>11</v>
      </c>
      <c r="E883" t="s">
        <v>9</v>
      </c>
    </row>
    <row r="884" spans="1:5" x14ac:dyDescent="0.25">
      <c r="A884" t="s">
        <v>903</v>
      </c>
      <c r="B884" t="s">
        <v>621</v>
      </c>
      <c r="C884" t="s">
        <v>14</v>
      </c>
      <c r="D884" t="s">
        <v>11</v>
      </c>
      <c r="E884" t="s">
        <v>9</v>
      </c>
    </row>
    <row r="885" spans="1:5" x14ac:dyDescent="0.25">
      <c r="A885" t="s">
        <v>904</v>
      </c>
      <c r="B885" t="s">
        <v>621</v>
      </c>
      <c r="C885" t="s">
        <v>14</v>
      </c>
      <c r="D885" t="s">
        <v>11</v>
      </c>
      <c r="E885" t="s">
        <v>9</v>
      </c>
    </row>
    <row r="886" spans="1:5" x14ac:dyDescent="0.25">
      <c r="A886" t="s">
        <v>905</v>
      </c>
      <c r="B886" t="s">
        <v>621</v>
      </c>
      <c r="C886" t="s">
        <v>14</v>
      </c>
      <c r="D886" t="s">
        <v>11</v>
      </c>
      <c r="E886" t="s">
        <v>19</v>
      </c>
    </row>
    <row r="887" spans="1:5" x14ac:dyDescent="0.25">
      <c r="A887" t="s">
        <v>906</v>
      </c>
      <c r="B887" t="s">
        <v>621</v>
      </c>
      <c r="C887" t="s">
        <v>14</v>
      </c>
      <c r="D887" t="s">
        <v>11</v>
      </c>
      <c r="E887" t="s">
        <v>29</v>
      </c>
    </row>
    <row r="888" spans="1:5" x14ac:dyDescent="0.25">
      <c r="A888" t="s">
        <v>907</v>
      </c>
      <c r="B888" t="s">
        <v>621</v>
      </c>
      <c r="C888" t="s">
        <v>7</v>
      </c>
      <c r="D888" t="s">
        <v>8</v>
      </c>
      <c r="E888" t="s">
        <v>9</v>
      </c>
    </row>
    <row r="889" spans="1:5" x14ac:dyDescent="0.25">
      <c r="A889" t="s">
        <v>908</v>
      </c>
      <c r="B889" t="s">
        <v>621</v>
      </c>
      <c r="C889" t="s">
        <v>7</v>
      </c>
      <c r="D889" t="s">
        <v>11</v>
      </c>
      <c r="E889" t="s">
        <v>9</v>
      </c>
    </row>
    <row r="890" spans="1:5" x14ac:dyDescent="0.25">
      <c r="A890" t="s">
        <v>909</v>
      </c>
      <c r="B890" t="s">
        <v>621</v>
      </c>
      <c r="C890" t="s">
        <v>14</v>
      </c>
      <c r="D890" t="s">
        <v>11</v>
      </c>
      <c r="E890" t="s">
        <v>16</v>
      </c>
    </row>
    <row r="891" spans="1:5" x14ac:dyDescent="0.25">
      <c r="A891" t="s">
        <v>910</v>
      </c>
      <c r="B891" t="s">
        <v>621</v>
      </c>
      <c r="C891" t="s">
        <v>7</v>
      </c>
      <c r="D891" t="s">
        <v>11</v>
      </c>
      <c r="E891" t="s">
        <v>9</v>
      </c>
    </row>
    <row r="892" spans="1:5" x14ac:dyDescent="0.25">
      <c r="A892" t="s">
        <v>911</v>
      </c>
      <c r="B892" t="s">
        <v>621</v>
      </c>
      <c r="C892" t="s">
        <v>14</v>
      </c>
      <c r="D892" t="s">
        <v>11</v>
      </c>
      <c r="E892" t="s">
        <v>9</v>
      </c>
    </row>
    <row r="893" spans="1:5" x14ac:dyDescent="0.25">
      <c r="A893" t="s">
        <v>912</v>
      </c>
      <c r="B893" t="s">
        <v>621</v>
      </c>
      <c r="C893" t="s">
        <v>14</v>
      </c>
      <c r="D893" t="s">
        <v>11</v>
      </c>
      <c r="E893" t="s">
        <v>16</v>
      </c>
    </row>
    <row r="894" spans="1:5" x14ac:dyDescent="0.25">
      <c r="A894" t="s">
        <v>913</v>
      </c>
      <c r="B894" t="s">
        <v>621</v>
      </c>
      <c r="C894" t="s">
        <v>14</v>
      </c>
      <c r="D894" t="s">
        <v>11</v>
      </c>
      <c r="E894" t="s">
        <v>16</v>
      </c>
    </row>
    <row r="895" spans="1:5" x14ac:dyDescent="0.25">
      <c r="A895" t="s">
        <v>914</v>
      </c>
      <c r="B895" t="s">
        <v>621</v>
      </c>
      <c r="C895" t="s">
        <v>14</v>
      </c>
      <c r="D895" t="s">
        <v>11</v>
      </c>
      <c r="E895" t="s">
        <v>9</v>
      </c>
    </row>
    <row r="896" spans="1:5" x14ac:dyDescent="0.25">
      <c r="A896" t="s">
        <v>915</v>
      </c>
      <c r="B896" t="s">
        <v>621</v>
      </c>
      <c r="C896" t="s">
        <v>7</v>
      </c>
      <c r="D896" t="s">
        <v>11</v>
      </c>
      <c r="E896" t="s">
        <v>12</v>
      </c>
    </row>
    <row r="897" spans="1:5" x14ac:dyDescent="0.25">
      <c r="A897" t="s">
        <v>916</v>
      </c>
      <c r="B897" t="s">
        <v>621</v>
      </c>
      <c r="C897" t="s">
        <v>7</v>
      </c>
      <c r="D897" t="s">
        <v>8</v>
      </c>
      <c r="E897" t="s">
        <v>12</v>
      </c>
    </row>
    <row r="898" spans="1:5" x14ac:dyDescent="0.25">
      <c r="A898" t="s">
        <v>917</v>
      </c>
      <c r="B898" t="s">
        <v>621</v>
      </c>
      <c r="C898" t="s">
        <v>14</v>
      </c>
      <c r="D898" t="s">
        <v>11</v>
      </c>
      <c r="E898" t="s">
        <v>19</v>
      </c>
    </row>
    <row r="899" spans="1:5" x14ac:dyDescent="0.25">
      <c r="A899" t="s">
        <v>918</v>
      </c>
      <c r="B899" t="s">
        <v>621</v>
      </c>
      <c r="C899" t="s">
        <v>14</v>
      </c>
      <c r="D899" t="s">
        <v>11</v>
      </c>
      <c r="E899" t="s">
        <v>16</v>
      </c>
    </row>
    <row r="900" spans="1:5" x14ac:dyDescent="0.25">
      <c r="A900" t="s">
        <v>919</v>
      </c>
      <c r="B900" t="s">
        <v>621</v>
      </c>
      <c r="C900" t="s">
        <v>14</v>
      </c>
      <c r="D900" t="s">
        <v>11</v>
      </c>
      <c r="E900" t="s">
        <v>29</v>
      </c>
    </row>
    <row r="901" spans="1:5" x14ac:dyDescent="0.25">
      <c r="A901" t="s">
        <v>920</v>
      </c>
      <c r="B901" t="s">
        <v>621</v>
      </c>
      <c r="C901" t="s">
        <v>7</v>
      </c>
      <c r="D901" t="s">
        <v>8</v>
      </c>
      <c r="E901" t="s">
        <v>9</v>
      </c>
    </row>
    <row r="902" spans="1:5" x14ac:dyDescent="0.25">
      <c r="A902" t="s">
        <v>921</v>
      </c>
      <c r="B902" t="s">
        <v>621</v>
      </c>
      <c r="C902" t="s">
        <v>14</v>
      </c>
      <c r="D902" t="s">
        <v>11</v>
      </c>
      <c r="E902" t="s">
        <v>9</v>
      </c>
    </row>
    <row r="903" spans="1:5" x14ac:dyDescent="0.25">
      <c r="A903" t="s">
        <v>922</v>
      </c>
      <c r="B903" t="s">
        <v>621</v>
      </c>
      <c r="C903" t="s">
        <v>14</v>
      </c>
      <c r="D903" t="s">
        <v>8</v>
      </c>
      <c r="E903" t="s">
        <v>9</v>
      </c>
    </row>
    <row r="904" spans="1:5" x14ac:dyDescent="0.25">
      <c r="A904" t="s">
        <v>923</v>
      </c>
      <c r="B904" t="s">
        <v>621</v>
      </c>
      <c r="C904" t="s">
        <v>14</v>
      </c>
      <c r="D904" t="s">
        <v>11</v>
      </c>
      <c r="E904" t="s">
        <v>9</v>
      </c>
    </row>
    <row r="905" spans="1:5" x14ac:dyDescent="0.25">
      <c r="A905" t="s">
        <v>924</v>
      </c>
      <c r="B905" t="s">
        <v>621</v>
      </c>
      <c r="C905" t="s">
        <v>14</v>
      </c>
      <c r="D905" t="s">
        <v>8</v>
      </c>
      <c r="E905" t="s">
        <v>9</v>
      </c>
    </row>
    <row r="906" spans="1:5" x14ac:dyDescent="0.25">
      <c r="A906" t="s">
        <v>925</v>
      </c>
      <c r="B906" t="s">
        <v>621</v>
      </c>
      <c r="C906" t="s">
        <v>14</v>
      </c>
      <c r="D906" t="s">
        <v>11</v>
      </c>
      <c r="E906" t="s">
        <v>9</v>
      </c>
    </row>
    <row r="907" spans="1:5" x14ac:dyDescent="0.25">
      <c r="A907" t="s">
        <v>926</v>
      </c>
      <c r="B907" t="s">
        <v>621</v>
      </c>
      <c r="C907" t="s">
        <v>7</v>
      </c>
      <c r="D907" t="s">
        <v>11</v>
      </c>
      <c r="E907" t="s">
        <v>16</v>
      </c>
    </row>
    <row r="908" spans="1:5" x14ac:dyDescent="0.25">
      <c r="A908" t="s">
        <v>927</v>
      </c>
      <c r="B908" t="s">
        <v>621</v>
      </c>
      <c r="C908" t="s">
        <v>14</v>
      </c>
      <c r="D908" t="s">
        <v>11</v>
      </c>
      <c r="E908" t="s">
        <v>9</v>
      </c>
    </row>
    <row r="909" spans="1:5" x14ac:dyDescent="0.25">
      <c r="A909" t="s">
        <v>928</v>
      </c>
      <c r="B909" t="s">
        <v>621</v>
      </c>
      <c r="C909" t="s">
        <v>14</v>
      </c>
      <c r="D909" t="s">
        <v>8</v>
      </c>
      <c r="E909" t="s">
        <v>9</v>
      </c>
    </row>
    <row r="910" spans="1:5" x14ac:dyDescent="0.25">
      <c r="A910" t="s">
        <v>929</v>
      </c>
      <c r="B910" t="s">
        <v>621</v>
      </c>
      <c r="C910" t="s">
        <v>14</v>
      </c>
      <c r="D910" t="s">
        <v>8</v>
      </c>
      <c r="E910" t="s">
        <v>9</v>
      </c>
    </row>
    <row r="911" spans="1:5" x14ac:dyDescent="0.25">
      <c r="A911" t="s">
        <v>930</v>
      </c>
      <c r="B911" t="s">
        <v>621</v>
      </c>
      <c r="C911" t="s">
        <v>7</v>
      </c>
      <c r="D911" t="s">
        <v>11</v>
      </c>
      <c r="E911" t="s">
        <v>16</v>
      </c>
    </row>
    <row r="912" spans="1:5" x14ac:dyDescent="0.25">
      <c r="A912" t="s">
        <v>931</v>
      </c>
      <c r="B912" t="s">
        <v>621</v>
      </c>
      <c r="C912" t="s">
        <v>14</v>
      </c>
      <c r="D912" t="s">
        <v>11</v>
      </c>
      <c r="E912" t="s">
        <v>29</v>
      </c>
    </row>
    <row r="913" spans="1:5" x14ac:dyDescent="0.25">
      <c r="A913" t="s">
        <v>932</v>
      </c>
      <c r="B913" t="s">
        <v>621</v>
      </c>
      <c r="C913" t="s">
        <v>14</v>
      </c>
      <c r="D913" t="s">
        <v>11</v>
      </c>
      <c r="E913" t="s">
        <v>9</v>
      </c>
    </row>
    <row r="914" spans="1:5" x14ac:dyDescent="0.25">
      <c r="A914" t="s">
        <v>933</v>
      </c>
      <c r="B914" t="s">
        <v>621</v>
      </c>
      <c r="C914" t="s">
        <v>14</v>
      </c>
      <c r="D914" t="s">
        <v>11</v>
      </c>
      <c r="E914" t="s">
        <v>16</v>
      </c>
    </row>
    <row r="915" spans="1:5" x14ac:dyDescent="0.25">
      <c r="A915" t="s">
        <v>934</v>
      </c>
      <c r="B915" t="s">
        <v>621</v>
      </c>
      <c r="C915" t="s">
        <v>7</v>
      </c>
      <c r="D915" t="s">
        <v>11</v>
      </c>
      <c r="E915" t="s">
        <v>9</v>
      </c>
    </row>
    <row r="916" spans="1:5" x14ac:dyDescent="0.25">
      <c r="A916" t="s">
        <v>935</v>
      </c>
      <c r="B916" t="s">
        <v>621</v>
      </c>
      <c r="C916" t="s">
        <v>14</v>
      </c>
      <c r="D916" t="s">
        <v>11</v>
      </c>
      <c r="E916" t="s">
        <v>16</v>
      </c>
    </row>
    <row r="917" spans="1:5" x14ac:dyDescent="0.25">
      <c r="A917" t="s">
        <v>936</v>
      </c>
      <c r="B917" t="s">
        <v>621</v>
      </c>
      <c r="C917" t="s">
        <v>14</v>
      </c>
      <c r="D917" t="s">
        <v>11</v>
      </c>
      <c r="E917" t="s">
        <v>9</v>
      </c>
    </row>
    <row r="918" spans="1:5" x14ac:dyDescent="0.25">
      <c r="A918" t="s">
        <v>937</v>
      </c>
      <c r="B918" t="s">
        <v>621</v>
      </c>
      <c r="C918" t="s">
        <v>7</v>
      </c>
      <c r="D918" t="s">
        <v>8</v>
      </c>
      <c r="E918" t="s">
        <v>12</v>
      </c>
    </row>
    <row r="919" spans="1:5" x14ac:dyDescent="0.25">
      <c r="A919" t="s">
        <v>938</v>
      </c>
      <c r="B919" t="s">
        <v>621</v>
      </c>
      <c r="C919" t="s">
        <v>7</v>
      </c>
      <c r="D919" t="s">
        <v>11</v>
      </c>
      <c r="E919" t="s">
        <v>16</v>
      </c>
    </row>
    <row r="920" spans="1:5" x14ac:dyDescent="0.25">
      <c r="A920" t="s">
        <v>939</v>
      </c>
      <c r="B920" t="s">
        <v>621</v>
      </c>
      <c r="C920" t="s">
        <v>14</v>
      </c>
      <c r="D920" t="s">
        <v>11</v>
      </c>
      <c r="E920" t="s">
        <v>9</v>
      </c>
    </row>
    <row r="921" spans="1:5" x14ac:dyDescent="0.25">
      <c r="A921" t="s">
        <v>940</v>
      </c>
      <c r="B921" t="s">
        <v>621</v>
      </c>
      <c r="C921" t="s">
        <v>14</v>
      </c>
      <c r="D921" t="s">
        <v>11</v>
      </c>
      <c r="E921" t="s">
        <v>29</v>
      </c>
    </row>
    <row r="922" spans="1:5" x14ac:dyDescent="0.25">
      <c r="A922" t="s">
        <v>941</v>
      </c>
      <c r="B922" t="s">
        <v>621</v>
      </c>
      <c r="C922" t="s">
        <v>14</v>
      </c>
      <c r="D922" t="s">
        <v>11</v>
      </c>
      <c r="E922" t="s">
        <v>9</v>
      </c>
    </row>
    <row r="923" spans="1:5" x14ac:dyDescent="0.25">
      <c r="A923" t="s">
        <v>942</v>
      </c>
      <c r="B923" t="s">
        <v>621</v>
      </c>
      <c r="C923" t="s">
        <v>14</v>
      </c>
      <c r="D923" t="s">
        <v>11</v>
      </c>
      <c r="E923" t="s">
        <v>9</v>
      </c>
    </row>
    <row r="924" spans="1:5" x14ac:dyDescent="0.25">
      <c r="A924" t="s">
        <v>943</v>
      </c>
      <c r="B924" t="s">
        <v>621</v>
      </c>
      <c r="C924" t="s">
        <v>7</v>
      </c>
      <c r="D924" t="s">
        <v>8</v>
      </c>
      <c r="E924" t="s">
        <v>9</v>
      </c>
    </row>
    <row r="925" spans="1:5" x14ac:dyDescent="0.25">
      <c r="A925" t="s">
        <v>944</v>
      </c>
      <c r="B925" t="s">
        <v>621</v>
      </c>
      <c r="C925" t="s">
        <v>7</v>
      </c>
      <c r="D925" t="s">
        <v>8</v>
      </c>
      <c r="E925" t="s">
        <v>9</v>
      </c>
    </row>
    <row r="926" spans="1:5" x14ac:dyDescent="0.25">
      <c r="A926" t="s">
        <v>945</v>
      </c>
      <c r="B926" t="s">
        <v>621</v>
      </c>
      <c r="C926" t="s">
        <v>14</v>
      </c>
      <c r="D926" t="s">
        <v>11</v>
      </c>
      <c r="E926" t="s">
        <v>16</v>
      </c>
    </row>
    <row r="927" spans="1:5" x14ac:dyDescent="0.25">
      <c r="A927" t="s">
        <v>946</v>
      </c>
      <c r="B927" t="s">
        <v>621</v>
      </c>
      <c r="C927" t="s">
        <v>14</v>
      </c>
      <c r="D927" t="s">
        <v>11</v>
      </c>
      <c r="E927" t="s">
        <v>19</v>
      </c>
    </row>
    <row r="928" spans="1:5" x14ac:dyDescent="0.25">
      <c r="A928" t="s">
        <v>947</v>
      </c>
      <c r="B928" t="s">
        <v>621</v>
      </c>
      <c r="C928" t="s">
        <v>7</v>
      </c>
      <c r="D928" t="s">
        <v>11</v>
      </c>
      <c r="E928" t="s">
        <v>9</v>
      </c>
    </row>
    <row r="929" spans="1:5" x14ac:dyDescent="0.25">
      <c r="A929" t="s">
        <v>948</v>
      </c>
      <c r="B929" t="s">
        <v>621</v>
      </c>
      <c r="C929" t="s">
        <v>14</v>
      </c>
      <c r="D929" t="s">
        <v>11</v>
      </c>
      <c r="E929" t="s">
        <v>9</v>
      </c>
    </row>
    <row r="930" spans="1:5" x14ac:dyDescent="0.25">
      <c r="A930" t="s">
        <v>949</v>
      </c>
      <c r="B930" t="s">
        <v>621</v>
      </c>
      <c r="C930" t="s">
        <v>14</v>
      </c>
      <c r="D930" t="s">
        <v>8</v>
      </c>
      <c r="E930" t="s">
        <v>9</v>
      </c>
    </row>
    <row r="931" spans="1:5" x14ac:dyDescent="0.25">
      <c r="A931" t="s">
        <v>950</v>
      </c>
      <c r="B931" t="s">
        <v>621</v>
      </c>
      <c r="C931" t="s">
        <v>14</v>
      </c>
      <c r="D931" t="s">
        <v>11</v>
      </c>
      <c r="E931" t="s">
        <v>9</v>
      </c>
    </row>
    <row r="932" spans="1:5" x14ac:dyDescent="0.25">
      <c r="A932" t="s">
        <v>951</v>
      </c>
      <c r="B932" t="s">
        <v>621</v>
      </c>
      <c r="C932" t="s">
        <v>14</v>
      </c>
      <c r="D932" t="s">
        <v>11</v>
      </c>
      <c r="E932" t="s">
        <v>9</v>
      </c>
    </row>
    <row r="933" spans="1:5" x14ac:dyDescent="0.25">
      <c r="A933" t="s">
        <v>952</v>
      </c>
      <c r="B933" t="s">
        <v>621</v>
      </c>
      <c r="C933" t="s">
        <v>14</v>
      </c>
      <c r="D933" t="s">
        <v>11</v>
      </c>
      <c r="E933" t="s">
        <v>9</v>
      </c>
    </row>
    <row r="934" spans="1:5" x14ac:dyDescent="0.25">
      <c r="A934" t="s">
        <v>953</v>
      </c>
      <c r="B934" t="s">
        <v>621</v>
      </c>
      <c r="C934" t="s">
        <v>14</v>
      </c>
      <c r="D934" t="s">
        <v>8</v>
      </c>
      <c r="E934" t="s">
        <v>9</v>
      </c>
    </row>
    <row r="935" spans="1:5" x14ac:dyDescent="0.25">
      <c r="A935" t="s">
        <v>954</v>
      </c>
      <c r="B935" t="s">
        <v>621</v>
      </c>
      <c r="C935" t="s">
        <v>14</v>
      </c>
      <c r="D935" t="s">
        <v>11</v>
      </c>
      <c r="E935" t="s">
        <v>9</v>
      </c>
    </row>
    <row r="936" spans="1:5" x14ac:dyDescent="0.25">
      <c r="A936" t="s">
        <v>955</v>
      </c>
      <c r="B936" t="s">
        <v>621</v>
      </c>
      <c r="C936" t="s">
        <v>7</v>
      </c>
      <c r="D936" t="s">
        <v>8</v>
      </c>
      <c r="E936" t="s">
        <v>12</v>
      </c>
    </row>
    <row r="937" spans="1:5" x14ac:dyDescent="0.25">
      <c r="A937" t="s">
        <v>956</v>
      </c>
      <c r="B937" t="s">
        <v>621</v>
      </c>
      <c r="C937" t="s">
        <v>7</v>
      </c>
      <c r="D937" t="s">
        <v>11</v>
      </c>
      <c r="E937" t="s">
        <v>9</v>
      </c>
    </row>
    <row r="938" spans="1:5" x14ac:dyDescent="0.25">
      <c r="A938" t="s">
        <v>957</v>
      </c>
      <c r="B938" t="s">
        <v>621</v>
      </c>
      <c r="C938" t="s">
        <v>7</v>
      </c>
      <c r="D938" t="s">
        <v>8</v>
      </c>
      <c r="E938" t="s">
        <v>9</v>
      </c>
    </row>
    <row r="939" spans="1:5" x14ac:dyDescent="0.25">
      <c r="A939" t="s">
        <v>958</v>
      </c>
      <c r="B939" t="s">
        <v>621</v>
      </c>
      <c r="C939" t="s">
        <v>14</v>
      </c>
      <c r="D939" t="s">
        <v>8</v>
      </c>
      <c r="E939" t="s">
        <v>12</v>
      </c>
    </row>
    <row r="940" spans="1:5" x14ac:dyDescent="0.25">
      <c r="A940" t="s">
        <v>959</v>
      </c>
      <c r="B940" t="s">
        <v>621</v>
      </c>
      <c r="C940" t="s">
        <v>14</v>
      </c>
      <c r="D940" t="s">
        <v>11</v>
      </c>
      <c r="E940" t="s">
        <v>29</v>
      </c>
    </row>
    <row r="941" spans="1:5" x14ac:dyDescent="0.25">
      <c r="A941" t="s">
        <v>960</v>
      </c>
      <c r="B941" t="s">
        <v>621</v>
      </c>
      <c r="C941" t="s">
        <v>14</v>
      </c>
      <c r="D941" t="s">
        <v>8</v>
      </c>
      <c r="E941" t="s">
        <v>16</v>
      </c>
    </row>
    <row r="942" spans="1:5" x14ac:dyDescent="0.25">
      <c r="A942" t="s">
        <v>961</v>
      </c>
      <c r="B942" t="s">
        <v>621</v>
      </c>
      <c r="C942" t="s">
        <v>14</v>
      </c>
      <c r="D942" t="s">
        <v>11</v>
      </c>
      <c r="E942" t="s">
        <v>9</v>
      </c>
    </row>
    <row r="943" spans="1:5" x14ac:dyDescent="0.25">
      <c r="A943" t="s">
        <v>962</v>
      </c>
      <c r="B943" t="s">
        <v>621</v>
      </c>
      <c r="C943" t="s">
        <v>7</v>
      </c>
      <c r="D943" t="s">
        <v>11</v>
      </c>
      <c r="E943" t="s">
        <v>9</v>
      </c>
    </row>
    <row r="944" spans="1:5" x14ac:dyDescent="0.25">
      <c r="A944" t="s">
        <v>963</v>
      </c>
      <c r="B944" t="s">
        <v>621</v>
      </c>
      <c r="C944" t="s">
        <v>14</v>
      </c>
      <c r="D944" t="s">
        <v>11</v>
      </c>
      <c r="E944" t="s">
        <v>9</v>
      </c>
    </row>
    <row r="945" spans="1:5" x14ac:dyDescent="0.25">
      <c r="A945" t="s">
        <v>964</v>
      </c>
      <c r="B945" t="s">
        <v>621</v>
      </c>
      <c r="C945" t="s">
        <v>14</v>
      </c>
      <c r="D945" t="s">
        <v>8</v>
      </c>
      <c r="E945" t="s">
        <v>16</v>
      </c>
    </row>
    <row r="946" spans="1:5" x14ac:dyDescent="0.25">
      <c r="A946" t="s">
        <v>965</v>
      </c>
      <c r="B946" t="s">
        <v>621</v>
      </c>
      <c r="C946" t="s">
        <v>14</v>
      </c>
      <c r="D946" t="s">
        <v>11</v>
      </c>
      <c r="E946" t="s">
        <v>9</v>
      </c>
    </row>
    <row r="947" spans="1:5" x14ac:dyDescent="0.25">
      <c r="A947" t="s">
        <v>966</v>
      </c>
      <c r="B947" t="s">
        <v>621</v>
      </c>
      <c r="C947" t="s">
        <v>7</v>
      </c>
      <c r="D947" t="s">
        <v>11</v>
      </c>
      <c r="E947" t="s">
        <v>9</v>
      </c>
    </row>
    <row r="948" spans="1:5" x14ac:dyDescent="0.25">
      <c r="A948" t="s">
        <v>967</v>
      </c>
      <c r="B948" t="s">
        <v>621</v>
      </c>
      <c r="C948" t="s">
        <v>14</v>
      </c>
      <c r="D948" t="s">
        <v>11</v>
      </c>
      <c r="E948" t="s">
        <v>9</v>
      </c>
    </row>
    <row r="949" spans="1:5" x14ac:dyDescent="0.25">
      <c r="A949" t="s">
        <v>968</v>
      </c>
      <c r="B949" t="s">
        <v>621</v>
      </c>
      <c r="C949" t="s">
        <v>7</v>
      </c>
      <c r="D949" t="s">
        <v>8</v>
      </c>
      <c r="E949" t="s">
        <v>9</v>
      </c>
    </row>
    <row r="950" spans="1:5" x14ac:dyDescent="0.25">
      <c r="A950" t="s">
        <v>969</v>
      </c>
      <c r="B950" t="s">
        <v>621</v>
      </c>
      <c r="C950" t="s">
        <v>14</v>
      </c>
      <c r="D950" t="s">
        <v>11</v>
      </c>
      <c r="E950" t="s">
        <v>9</v>
      </c>
    </row>
    <row r="951" spans="1:5" x14ac:dyDescent="0.25">
      <c r="A951" t="s">
        <v>970</v>
      </c>
      <c r="B951" t="s">
        <v>621</v>
      </c>
      <c r="C951" t="s">
        <v>7</v>
      </c>
      <c r="D951" t="s">
        <v>11</v>
      </c>
      <c r="E951" t="s">
        <v>9</v>
      </c>
    </row>
    <row r="952" spans="1:5" x14ac:dyDescent="0.25">
      <c r="A952" t="s">
        <v>971</v>
      </c>
      <c r="B952" t="s">
        <v>621</v>
      </c>
      <c r="C952" t="s">
        <v>14</v>
      </c>
      <c r="D952" t="s">
        <v>11</v>
      </c>
      <c r="E952" t="s">
        <v>9</v>
      </c>
    </row>
    <row r="953" spans="1:5" x14ac:dyDescent="0.25">
      <c r="A953" t="s">
        <v>972</v>
      </c>
      <c r="B953" t="s">
        <v>621</v>
      </c>
      <c r="C953" t="s">
        <v>14</v>
      </c>
      <c r="D953" t="s">
        <v>11</v>
      </c>
      <c r="E953" t="s">
        <v>9</v>
      </c>
    </row>
    <row r="954" spans="1:5" x14ac:dyDescent="0.25">
      <c r="A954" t="s">
        <v>973</v>
      </c>
      <c r="B954" t="s">
        <v>621</v>
      </c>
      <c r="C954" t="s">
        <v>14</v>
      </c>
      <c r="D954" t="s">
        <v>11</v>
      </c>
      <c r="E954" t="s">
        <v>9</v>
      </c>
    </row>
    <row r="955" spans="1:5" x14ac:dyDescent="0.25">
      <c r="A955" t="s">
        <v>974</v>
      </c>
      <c r="B955" t="s">
        <v>621</v>
      </c>
      <c r="C955" t="s">
        <v>7</v>
      </c>
      <c r="D955" t="s">
        <v>11</v>
      </c>
      <c r="E955" t="s">
        <v>9</v>
      </c>
    </row>
    <row r="956" spans="1:5" x14ac:dyDescent="0.25">
      <c r="A956" t="s">
        <v>975</v>
      </c>
      <c r="B956" t="s">
        <v>621</v>
      </c>
      <c r="C956" t="s">
        <v>14</v>
      </c>
      <c r="D956" t="s">
        <v>11</v>
      </c>
      <c r="E956" t="s">
        <v>9</v>
      </c>
    </row>
    <row r="957" spans="1:5" x14ac:dyDescent="0.25">
      <c r="A957" t="s">
        <v>976</v>
      </c>
      <c r="B957" t="s">
        <v>621</v>
      </c>
      <c r="C957" t="s">
        <v>14</v>
      </c>
      <c r="D957" t="s">
        <v>8</v>
      </c>
      <c r="E957" t="s">
        <v>9</v>
      </c>
    </row>
    <row r="958" spans="1:5" x14ac:dyDescent="0.25">
      <c r="A958" t="s">
        <v>977</v>
      </c>
      <c r="B958" t="s">
        <v>621</v>
      </c>
      <c r="C958" t="s">
        <v>14</v>
      </c>
      <c r="D958" t="s">
        <v>8</v>
      </c>
      <c r="E958" t="s">
        <v>9</v>
      </c>
    </row>
    <row r="959" spans="1:5" x14ac:dyDescent="0.25">
      <c r="A959" t="s">
        <v>978</v>
      </c>
      <c r="B959" t="s">
        <v>621</v>
      </c>
      <c r="C959" t="s">
        <v>14</v>
      </c>
      <c r="D959" t="s">
        <v>8</v>
      </c>
      <c r="E959" t="s">
        <v>9</v>
      </c>
    </row>
    <row r="960" spans="1:5" x14ac:dyDescent="0.25">
      <c r="A960" t="s">
        <v>979</v>
      </c>
      <c r="B960" t="s">
        <v>621</v>
      </c>
      <c r="C960" t="s">
        <v>14</v>
      </c>
      <c r="D960" t="s">
        <v>8</v>
      </c>
      <c r="E960" t="s">
        <v>9</v>
      </c>
    </row>
    <row r="961" spans="1:5" x14ac:dyDescent="0.25">
      <c r="A961" t="s">
        <v>980</v>
      </c>
      <c r="B961" t="s">
        <v>621</v>
      </c>
      <c r="C961" t="s">
        <v>14</v>
      </c>
      <c r="D961" t="s">
        <v>11</v>
      </c>
      <c r="E961" t="s">
        <v>16</v>
      </c>
    </row>
    <row r="962" spans="1:5" x14ac:dyDescent="0.25">
      <c r="A962" t="s">
        <v>981</v>
      </c>
      <c r="B962" t="s">
        <v>621</v>
      </c>
      <c r="C962" t="s">
        <v>14</v>
      </c>
      <c r="D962" t="s">
        <v>11</v>
      </c>
      <c r="E962" t="s">
        <v>16</v>
      </c>
    </row>
    <row r="963" spans="1:5" x14ac:dyDescent="0.25">
      <c r="A963" t="s">
        <v>982</v>
      </c>
      <c r="B963" t="s">
        <v>621</v>
      </c>
      <c r="C963" t="s">
        <v>14</v>
      </c>
      <c r="D963" t="s">
        <v>8</v>
      </c>
      <c r="E963" t="s">
        <v>9</v>
      </c>
    </row>
    <row r="964" spans="1:5" x14ac:dyDescent="0.25">
      <c r="A964" t="s">
        <v>983</v>
      </c>
      <c r="B964" t="s">
        <v>621</v>
      </c>
      <c r="C964" t="s">
        <v>14</v>
      </c>
      <c r="D964" t="s">
        <v>11</v>
      </c>
      <c r="E964" t="s">
        <v>9</v>
      </c>
    </row>
    <row r="965" spans="1:5" x14ac:dyDescent="0.25">
      <c r="A965" t="s">
        <v>984</v>
      </c>
      <c r="B965" t="s">
        <v>621</v>
      </c>
      <c r="C965" t="s">
        <v>14</v>
      </c>
      <c r="D965" t="s">
        <v>11</v>
      </c>
      <c r="E965" t="s">
        <v>16</v>
      </c>
    </row>
    <row r="966" spans="1:5" x14ac:dyDescent="0.25">
      <c r="A966" t="s">
        <v>985</v>
      </c>
      <c r="B966" t="s">
        <v>621</v>
      </c>
      <c r="C966" t="s">
        <v>14</v>
      </c>
      <c r="D966" t="s">
        <v>11</v>
      </c>
      <c r="E966" t="s">
        <v>16</v>
      </c>
    </row>
    <row r="967" spans="1:5" x14ac:dyDescent="0.25">
      <c r="A967" t="s">
        <v>986</v>
      </c>
      <c r="B967" t="s">
        <v>621</v>
      </c>
      <c r="C967" t="s">
        <v>14</v>
      </c>
      <c r="D967" t="s">
        <v>11</v>
      </c>
      <c r="E967" t="s">
        <v>9</v>
      </c>
    </row>
    <row r="968" spans="1:5" x14ac:dyDescent="0.25">
      <c r="A968" t="s">
        <v>987</v>
      </c>
      <c r="B968" t="s">
        <v>621</v>
      </c>
      <c r="C968" t="s">
        <v>14</v>
      </c>
      <c r="D968" t="s">
        <v>8</v>
      </c>
      <c r="E968" t="s">
        <v>9</v>
      </c>
    </row>
    <row r="969" spans="1:5" x14ac:dyDescent="0.25">
      <c r="A969" t="s">
        <v>988</v>
      </c>
      <c r="B969" t="s">
        <v>621</v>
      </c>
      <c r="C969" t="s">
        <v>14</v>
      </c>
      <c r="D969" t="s">
        <v>8</v>
      </c>
      <c r="E969" t="s">
        <v>19</v>
      </c>
    </row>
    <row r="970" spans="1:5" x14ac:dyDescent="0.25">
      <c r="A970" t="s">
        <v>989</v>
      </c>
      <c r="B970" t="s">
        <v>621</v>
      </c>
      <c r="C970" t="s">
        <v>14</v>
      </c>
      <c r="D970" t="s">
        <v>11</v>
      </c>
      <c r="E970" t="s">
        <v>16</v>
      </c>
    </row>
    <row r="971" spans="1:5" x14ac:dyDescent="0.25">
      <c r="A971" t="s">
        <v>990</v>
      </c>
      <c r="B971" t="s">
        <v>621</v>
      </c>
      <c r="C971" t="s">
        <v>14</v>
      </c>
      <c r="D971" t="s">
        <v>8</v>
      </c>
      <c r="E971" t="s">
        <v>16</v>
      </c>
    </row>
    <row r="972" spans="1:5" x14ac:dyDescent="0.25">
      <c r="A972" t="s">
        <v>991</v>
      </c>
      <c r="B972" t="s">
        <v>621</v>
      </c>
      <c r="C972" t="s">
        <v>7</v>
      </c>
      <c r="D972" t="s">
        <v>11</v>
      </c>
      <c r="E972" t="s">
        <v>9</v>
      </c>
    </row>
    <row r="973" spans="1:5" x14ac:dyDescent="0.25">
      <c r="A973" t="s">
        <v>992</v>
      </c>
      <c r="B973" t="s">
        <v>621</v>
      </c>
      <c r="C973" t="s">
        <v>14</v>
      </c>
      <c r="D973" t="s">
        <v>11</v>
      </c>
      <c r="E973" t="s">
        <v>9</v>
      </c>
    </row>
    <row r="974" spans="1:5" x14ac:dyDescent="0.25">
      <c r="A974" t="s">
        <v>993</v>
      </c>
      <c r="B974" t="s">
        <v>621</v>
      </c>
      <c r="C974" t="s">
        <v>14</v>
      </c>
      <c r="D974" t="s">
        <v>11</v>
      </c>
      <c r="E974" t="s">
        <v>9</v>
      </c>
    </row>
    <row r="975" spans="1:5" x14ac:dyDescent="0.25">
      <c r="A975" t="s">
        <v>994</v>
      </c>
      <c r="B975" t="s">
        <v>621</v>
      </c>
      <c r="C975" t="s">
        <v>14</v>
      </c>
      <c r="D975" t="s">
        <v>11</v>
      </c>
      <c r="E975" t="s">
        <v>9</v>
      </c>
    </row>
    <row r="976" spans="1:5" x14ac:dyDescent="0.25">
      <c r="A976" t="s">
        <v>995</v>
      </c>
      <c r="B976" t="s">
        <v>621</v>
      </c>
      <c r="C976" t="s">
        <v>14</v>
      </c>
      <c r="D976" t="s">
        <v>11</v>
      </c>
      <c r="E976" t="s">
        <v>16</v>
      </c>
    </row>
    <row r="977" spans="1:5" x14ac:dyDescent="0.25">
      <c r="A977" t="s">
        <v>996</v>
      </c>
      <c r="B977" t="s">
        <v>621</v>
      </c>
      <c r="C977" t="s">
        <v>14</v>
      </c>
      <c r="D977" t="s">
        <v>8</v>
      </c>
      <c r="E977" t="s">
        <v>9</v>
      </c>
    </row>
    <row r="978" spans="1:5" x14ac:dyDescent="0.25">
      <c r="A978" t="s">
        <v>997</v>
      </c>
      <c r="B978" t="s">
        <v>621</v>
      </c>
      <c r="C978" t="s">
        <v>14</v>
      </c>
      <c r="D978" t="s">
        <v>11</v>
      </c>
      <c r="E978" t="s">
        <v>9</v>
      </c>
    </row>
    <row r="979" spans="1:5" x14ac:dyDescent="0.25">
      <c r="A979" t="s">
        <v>998</v>
      </c>
      <c r="B979" t="s">
        <v>621</v>
      </c>
      <c r="C979" t="s">
        <v>14</v>
      </c>
      <c r="D979" t="s">
        <v>11</v>
      </c>
      <c r="E979" t="s">
        <v>9</v>
      </c>
    </row>
    <row r="980" spans="1:5" x14ac:dyDescent="0.25">
      <c r="A980" t="s">
        <v>999</v>
      </c>
      <c r="B980" t="s">
        <v>621</v>
      </c>
      <c r="C980" t="s">
        <v>7</v>
      </c>
      <c r="D980" t="s">
        <v>11</v>
      </c>
      <c r="E980" t="s">
        <v>9</v>
      </c>
    </row>
    <row r="981" spans="1:5" x14ac:dyDescent="0.25">
      <c r="A981" t="s">
        <v>1000</v>
      </c>
      <c r="B981" t="s">
        <v>621</v>
      </c>
      <c r="C981" t="s">
        <v>14</v>
      </c>
      <c r="D981" t="s">
        <v>11</v>
      </c>
      <c r="E981" t="s">
        <v>24</v>
      </c>
    </row>
    <row r="982" spans="1:5" x14ac:dyDescent="0.25">
      <c r="A982" t="s">
        <v>1001</v>
      </c>
      <c r="B982" t="s">
        <v>621</v>
      </c>
      <c r="C982" t="s">
        <v>7</v>
      </c>
      <c r="D982" t="s">
        <v>8</v>
      </c>
      <c r="E982" t="s">
        <v>9</v>
      </c>
    </row>
    <row r="983" spans="1:5" x14ac:dyDescent="0.25">
      <c r="A983" t="s">
        <v>1002</v>
      </c>
      <c r="B983" t="s">
        <v>621</v>
      </c>
      <c r="C983" t="s">
        <v>7</v>
      </c>
      <c r="D983" t="s">
        <v>11</v>
      </c>
      <c r="E983" t="s">
        <v>16</v>
      </c>
    </row>
    <row r="984" spans="1:5" x14ac:dyDescent="0.25">
      <c r="A984" t="s">
        <v>1003</v>
      </c>
      <c r="B984" t="s">
        <v>621</v>
      </c>
      <c r="C984" t="s">
        <v>14</v>
      </c>
      <c r="D984" t="s">
        <v>11</v>
      </c>
      <c r="E984" t="s">
        <v>9</v>
      </c>
    </row>
    <row r="985" spans="1:5" x14ac:dyDescent="0.25">
      <c r="A985" t="s">
        <v>1004</v>
      </c>
      <c r="B985" t="s">
        <v>621</v>
      </c>
      <c r="C985" t="s">
        <v>14</v>
      </c>
      <c r="D985" t="s">
        <v>11</v>
      </c>
      <c r="E985" t="s">
        <v>9</v>
      </c>
    </row>
    <row r="986" spans="1:5" x14ac:dyDescent="0.25">
      <c r="A986" t="s">
        <v>1005</v>
      </c>
      <c r="B986" t="s">
        <v>621</v>
      </c>
      <c r="C986" t="s">
        <v>7</v>
      </c>
      <c r="D986" t="s">
        <v>8</v>
      </c>
      <c r="E986" t="s">
        <v>9</v>
      </c>
    </row>
    <row r="987" spans="1:5" x14ac:dyDescent="0.25">
      <c r="A987" t="s">
        <v>1006</v>
      </c>
      <c r="B987" t="s">
        <v>621</v>
      </c>
      <c r="C987" t="s">
        <v>7</v>
      </c>
      <c r="D987" t="s">
        <v>11</v>
      </c>
      <c r="E987" t="s">
        <v>9</v>
      </c>
    </row>
    <row r="988" spans="1:5" x14ac:dyDescent="0.25">
      <c r="A988" t="s">
        <v>1007</v>
      </c>
      <c r="B988" t="s">
        <v>621</v>
      </c>
      <c r="C988" t="s">
        <v>14</v>
      </c>
      <c r="D988" t="s">
        <v>11</v>
      </c>
      <c r="E988" t="s">
        <v>9</v>
      </c>
    </row>
    <row r="989" spans="1:5" x14ac:dyDescent="0.25">
      <c r="A989" t="s">
        <v>1008</v>
      </c>
      <c r="B989" t="s">
        <v>621</v>
      </c>
      <c r="C989" t="s">
        <v>14</v>
      </c>
      <c r="D989" t="s">
        <v>8</v>
      </c>
      <c r="E989" t="s">
        <v>9</v>
      </c>
    </row>
    <row r="990" spans="1:5" x14ac:dyDescent="0.25">
      <c r="A990" t="s">
        <v>1009</v>
      </c>
      <c r="B990" t="s">
        <v>621</v>
      </c>
      <c r="C990" t="s">
        <v>14</v>
      </c>
      <c r="D990" t="s">
        <v>11</v>
      </c>
      <c r="E990" t="s">
        <v>9</v>
      </c>
    </row>
    <row r="991" spans="1:5" x14ac:dyDescent="0.25">
      <c r="A991" t="s">
        <v>1010</v>
      </c>
      <c r="B991" t="s">
        <v>621</v>
      </c>
      <c r="C991" t="s">
        <v>14</v>
      </c>
      <c r="D991" t="s">
        <v>11</v>
      </c>
      <c r="E991" t="s">
        <v>9</v>
      </c>
    </row>
    <row r="992" spans="1:5" x14ac:dyDescent="0.25">
      <c r="A992" t="s">
        <v>1011</v>
      </c>
      <c r="B992" t="s">
        <v>621</v>
      </c>
      <c r="C992" t="s">
        <v>14</v>
      </c>
      <c r="D992" t="s">
        <v>11</v>
      </c>
      <c r="E992" t="s">
        <v>9</v>
      </c>
    </row>
    <row r="993" spans="1:5" x14ac:dyDescent="0.25">
      <c r="A993" t="s">
        <v>1012</v>
      </c>
      <c r="B993" t="s">
        <v>621</v>
      </c>
      <c r="C993" t="s">
        <v>7</v>
      </c>
      <c r="D993" t="s">
        <v>11</v>
      </c>
      <c r="E993" t="s">
        <v>9</v>
      </c>
    </row>
    <row r="994" spans="1:5" x14ac:dyDescent="0.25">
      <c r="A994" t="s">
        <v>1013</v>
      </c>
      <c r="B994" t="s">
        <v>621</v>
      </c>
      <c r="C994" t="s">
        <v>14</v>
      </c>
      <c r="D994" t="s">
        <v>8</v>
      </c>
      <c r="E994" t="s">
        <v>16</v>
      </c>
    </row>
    <row r="995" spans="1:5" x14ac:dyDescent="0.25">
      <c r="A995" t="s">
        <v>1014</v>
      </c>
      <c r="B995" t="s">
        <v>621</v>
      </c>
      <c r="C995" t="s">
        <v>7</v>
      </c>
      <c r="D995" t="s">
        <v>8</v>
      </c>
      <c r="E995" t="s">
        <v>9</v>
      </c>
    </row>
    <row r="996" spans="1:5" x14ac:dyDescent="0.25">
      <c r="A996" t="s">
        <v>1015</v>
      </c>
      <c r="B996" t="s">
        <v>621</v>
      </c>
      <c r="C996" t="s">
        <v>14</v>
      </c>
      <c r="D996" t="s">
        <v>11</v>
      </c>
      <c r="E996" t="s">
        <v>9</v>
      </c>
    </row>
    <row r="997" spans="1:5" x14ac:dyDescent="0.25">
      <c r="A997" t="s">
        <v>1016</v>
      </c>
      <c r="B997" t="s">
        <v>621</v>
      </c>
      <c r="C997" t="s">
        <v>14</v>
      </c>
      <c r="D997" t="s">
        <v>11</v>
      </c>
      <c r="E997" t="s">
        <v>16</v>
      </c>
    </row>
    <row r="998" spans="1:5" x14ac:dyDescent="0.25">
      <c r="A998" t="s">
        <v>1017</v>
      </c>
      <c r="B998" t="s">
        <v>621</v>
      </c>
      <c r="C998" t="s">
        <v>14</v>
      </c>
      <c r="D998" t="s">
        <v>11</v>
      </c>
      <c r="E998" t="s">
        <v>16</v>
      </c>
    </row>
    <row r="999" spans="1:5" x14ac:dyDescent="0.25">
      <c r="A999" t="s">
        <v>1018</v>
      </c>
      <c r="B999" t="s">
        <v>621</v>
      </c>
      <c r="C999" t="s">
        <v>7</v>
      </c>
      <c r="D999" t="s">
        <v>8</v>
      </c>
      <c r="E999" t="s">
        <v>9</v>
      </c>
    </row>
    <row r="1000" spans="1:5" x14ac:dyDescent="0.25">
      <c r="A1000" t="s">
        <v>1019</v>
      </c>
      <c r="B1000" t="s">
        <v>621</v>
      </c>
      <c r="C1000" t="s">
        <v>14</v>
      </c>
      <c r="D1000" t="s">
        <v>11</v>
      </c>
      <c r="E1000" t="s">
        <v>9</v>
      </c>
    </row>
    <row r="1001" spans="1:5" x14ac:dyDescent="0.25">
      <c r="A1001" t="s">
        <v>1020</v>
      </c>
      <c r="B1001" t="s">
        <v>621</v>
      </c>
      <c r="C1001" t="s">
        <v>7</v>
      </c>
      <c r="D1001" t="s">
        <v>8</v>
      </c>
      <c r="E1001" t="s">
        <v>9</v>
      </c>
    </row>
    <row r="1002" spans="1:5" x14ac:dyDescent="0.25">
      <c r="A1002" t="s">
        <v>1021</v>
      </c>
      <c r="B1002" t="s">
        <v>621</v>
      </c>
      <c r="C1002" t="s">
        <v>7</v>
      </c>
      <c r="D1002" t="s">
        <v>11</v>
      </c>
      <c r="E1002" t="s">
        <v>9</v>
      </c>
    </row>
    <row r="1003" spans="1:5" x14ac:dyDescent="0.25">
      <c r="A1003" t="s">
        <v>1022</v>
      </c>
      <c r="B1003" t="s">
        <v>621</v>
      </c>
      <c r="C1003" t="s">
        <v>7</v>
      </c>
      <c r="D1003" t="s">
        <v>8</v>
      </c>
      <c r="E1003" t="s">
        <v>9</v>
      </c>
    </row>
    <row r="1004" spans="1:5" x14ac:dyDescent="0.25">
      <c r="A1004" t="s">
        <v>1023</v>
      </c>
      <c r="B1004" t="s">
        <v>621</v>
      </c>
      <c r="C1004" t="s">
        <v>7</v>
      </c>
      <c r="D1004" t="s">
        <v>8</v>
      </c>
      <c r="E1004" t="s">
        <v>9</v>
      </c>
    </row>
    <row r="1005" spans="1:5" x14ac:dyDescent="0.25">
      <c r="A1005" t="s">
        <v>1024</v>
      </c>
      <c r="B1005" t="s">
        <v>621</v>
      </c>
      <c r="C1005" t="s">
        <v>7</v>
      </c>
      <c r="D1005" t="s">
        <v>11</v>
      </c>
      <c r="E1005" t="s">
        <v>9</v>
      </c>
    </row>
    <row r="1006" spans="1:5" x14ac:dyDescent="0.25">
      <c r="A1006" t="s">
        <v>1025</v>
      </c>
      <c r="B1006" t="s">
        <v>621</v>
      </c>
      <c r="C1006" t="s">
        <v>7</v>
      </c>
      <c r="D1006" t="s">
        <v>8</v>
      </c>
      <c r="E1006" t="s">
        <v>9</v>
      </c>
    </row>
    <row r="1007" spans="1:5" x14ac:dyDescent="0.25">
      <c r="A1007" t="s">
        <v>1026</v>
      </c>
      <c r="B1007" t="s">
        <v>621</v>
      </c>
      <c r="C1007" t="s">
        <v>14</v>
      </c>
      <c r="D1007" t="s">
        <v>11</v>
      </c>
      <c r="E1007" t="s">
        <v>9</v>
      </c>
    </row>
    <row r="1008" spans="1:5" x14ac:dyDescent="0.25">
      <c r="A1008" t="s">
        <v>1027</v>
      </c>
      <c r="B1008" t="s">
        <v>621</v>
      </c>
      <c r="C1008" t="s">
        <v>7</v>
      </c>
      <c r="D1008" t="s">
        <v>8</v>
      </c>
      <c r="E1008" t="s">
        <v>9</v>
      </c>
    </row>
    <row r="1009" spans="1:5" x14ac:dyDescent="0.25">
      <c r="A1009" t="s">
        <v>1028</v>
      </c>
      <c r="B1009" t="s">
        <v>621</v>
      </c>
      <c r="C1009" t="s">
        <v>7</v>
      </c>
      <c r="D1009" t="s">
        <v>8</v>
      </c>
      <c r="E1009" t="s">
        <v>29</v>
      </c>
    </row>
    <row r="1010" spans="1:5" x14ac:dyDescent="0.25">
      <c r="A1010" t="s">
        <v>1029</v>
      </c>
      <c r="B1010" t="s">
        <v>621</v>
      </c>
      <c r="C1010" t="s">
        <v>14</v>
      </c>
      <c r="D1010" t="s">
        <v>8</v>
      </c>
      <c r="E1010" t="s">
        <v>16</v>
      </c>
    </row>
    <row r="1011" spans="1:5" x14ac:dyDescent="0.25">
      <c r="A1011" t="s">
        <v>1030</v>
      </c>
      <c r="B1011" t="s">
        <v>621</v>
      </c>
      <c r="C1011" t="s">
        <v>14</v>
      </c>
      <c r="D1011" t="s">
        <v>11</v>
      </c>
      <c r="E1011" t="s">
        <v>9</v>
      </c>
    </row>
    <row r="1012" spans="1:5" x14ac:dyDescent="0.25">
      <c r="A1012" t="s">
        <v>1031</v>
      </c>
      <c r="B1012" t="s">
        <v>621</v>
      </c>
      <c r="C1012" t="s">
        <v>14</v>
      </c>
      <c r="D1012" t="s">
        <v>11</v>
      </c>
      <c r="E1012" t="s">
        <v>9</v>
      </c>
    </row>
    <row r="1013" spans="1:5" x14ac:dyDescent="0.25">
      <c r="A1013" t="s">
        <v>1032</v>
      </c>
      <c r="B1013" t="s">
        <v>621</v>
      </c>
      <c r="C1013" t="s">
        <v>14</v>
      </c>
      <c r="D1013" t="s">
        <v>8</v>
      </c>
      <c r="E1013" t="s">
        <v>29</v>
      </c>
    </row>
    <row r="1014" spans="1:5" x14ac:dyDescent="0.25">
      <c r="A1014" t="s">
        <v>1033</v>
      </c>
      <c r="B1014" t="s">
        <v>621</v>
      </c>
      <c r="C1014" t="s">
        <v>14</v>
      </c>
      <c r="D1014" t="s">
        <v>8</v>
      </c>
      <c r="E1014" t="s">
        <v>9</v>
      </c>
    </row>
    <row r="1015" spans="1:5" x14ac:dyDescent="0.25">
      <c r="A1015" t="s">
        <v>1034</v>
      </c>
      <c r="B1015" t="s">
        <v>621</v>
      </c>
      <c r="C1015" t="s">
        <v>14</v>
      </c>
      <c r="D1015" t="s">
        <v>8</v>
      </c>
      <c r="E1015" t="s">
        <v>9</v>
      </c>
    </row>
    <row r="1016" spans="1:5" x14ac:dyDescent="0.25">
      <c r="A1016" t="s">
        <v>1035</v>
      </c>
      <c r="B1016" t="s">
        <v>621</v>
      </c>
      <c r="C1016" t="s">
        <v>14</v>
      </c>
      <c r="D1016" t="s">
        <v>8</v>
      </c>
      <c r="E1016" t="s">
        <v>9</v>
      </c>
    </row>
    <row r="1017" spans="1:5" x14ac:dyDescent="0.25">
      <c r="A1017" t="s">
        <v>1036</v>
      </c>
      <c r="B1017" t="s">
        <v>621</v>
      </c>
      <c r="C1017" t="s">
        <v>14</v>
      </c>
      <c r="D1017" t="s">
        <v>11</v>
      </c>
      <c r="E1017" t="s">
        <v>24</v>
      </c>
    </row>
    <row r="1018" spans="1:5" x14ac:dyDescent="0.25">
      <c r="A1018" t="s">
        <v>1037</v>
      </c>
      <c r="B1018" t="s">
        <v>621</v>
      </c>
      <c r="C1018" t="s">
        <v>14</v>
      </c>
      <c r="D1018" t="s">
        <v>11</v>
      </c>
      <c r="E1018" t="s">
        <v>9</v>
      </c>
    </row>
    <row r="1019" spans="1:5" x14ac:dyDescent="0.25">
      <c r="A1019" t="s">
        <v>1038</v>
      </c>
      <c r="B1019" t="s">
        <v>621</v>
      </c>
      <c r="C1019" t="s">
        <v>7</v>
      </c>
      <c r="D1019" t="s">
        <v>11</v>
      </c>
      <c r="E1019" t="s">
        <v>9</v>
      </c>
    </row>
    <row r="1020" spans="1:5" x14ac:dyDescent="0.25">
      <c r="A1020" t="s">
        <v>1039</v>
      </c>
      <c r="B1020" t="s">
        <v>621</v>
      </c>
      <c r="C1020" t="s">
        <v>14</v>
      </c>
      <c r="D1020" t="s">
        <v>11</v>
      </c>
      <c r="E1020" t="s">
        <v>9</v>
      </c>
    </row>
    <row r="1021" spans="1:5" x14ac:dyDescent="0.25">
      <c r="A1021" t="s">
        <v>1040</v>
      </c>
      <c r="B1021" t="s">
        <v>621</v>
      </c>
      <c r="C1021" t="s">
        <v>14</v>
      </c>
      <c r="D1021" t="s">
        <v>11</v>
      </c>
      <c r="E1021" t="s">
        <v>9</v>
      </c>
    </row>
    <row r="1022" spans="1:5" x14ac:dyDescent="0.25">
      <c r="A1022" t="s">
        <v>1041</v>
      </c>
      <c r="B1022" t="s">
        <v>621</v>
      </c>
      <c r="C1022" t="s">
        <v>14</v>
      </c>
      <c r="D1022" t="s">
        <v>11</v>
      </c>
      <c r="E1022" t="s">
        <v>9</v>
      </c>
    </row>
    <row r="1023" spans="1:5" x14ac:dyDescent="0.25">
      <c r="A1023" t="s">
        <v>1042</v>
      </c>
      <c r="B1023" t="s">
        <v>621</v>
      </c>
      <c r="C1023" t="s">
        <v>14</v>
      </c>
      <c r="D1023" t="s">
        <v>11</v>
      </c>
      <c r="E1023" t="s">
        <v>9</v>
      </c>
    </row>
    <row r="1024" spans="1:5" x14ac:dyDescent="0.25">
      <c r="A1024" t="s">
        <v>1043</v>
      </c>
      <c r="B1024" t="s">
        <v>621</v>
      </c>
      <c r="C1024" t="s">
        <v>14</v>
      </c>
      <c r="D1024" t="s">
        <v>11</v>
      </c>
      <c r="E1024" t="s">
        <v>9</v>
      </c>
    </row>
    <row r="1025" spans="1:5" x14ac:dyDescent="0.25">
      <c r="A1025" t="s">
        <v>1044</v>
      </c>
      <c r="B1025" t="s">
        <v>621</v>
      </c>
      <c r="C1025" t="s">
        <v>7</v>
      </c>
      <c r="D1025" t="s">
        <v>8</v>
      </c>
      <c r="E1025" t="s">
        <v>9</v>
      </c>
    </row>
    <row r="1026" spans="1:5" x14ac:dyDescent="0.25">
      <c r="A1026" t="s">
        <v>1045</v>
      </c>
      <c r="B1026" t="s">
        <v>621</v>
      </c>
      <c r="C1026" t="s">
        <v>14</v>
      </c>
      <c r="D1026" t="s">
        <v>11</v>
      </c>
      <c r="E1026" t="s">
        <v>9</v>
      </c>
    </row>
    <row r="1027" spans="1:5" x14ac:dyDescent="0.25">
      <c r="A1027" t="s">
        <v>1046</v>
      </c>
      <c r="B1027" t="s">
        <v>621</v>
      </c>
      <c r="C1027" t="s">
        <v>7</v>
      </c>
      <c r="D1027" t="s">
        <v>11</v>
      </c>
      <c r="E1027" t="s">
        <v>12</v>
      </c>
    </row>
    <row r="1028" spans="1:5" x14ac:dyDescent="0.25">
      <c r="A1028" t="s">
        <v>1047</v>
      </c>
      <c r="B1028" t="s">
        <v>621</v>
      </c>
      <c r="C1028" t="s">
        <v>7</v>
      </c>
      <c r="D1028" t="s">
        <v>8</v>
      </c>
      <c r="E1028" t="s">
        <v>9</v>
      </c>
    </row>
    <row r="1029" spans="1:5" x14ac:dyDescent="0.25">
      <c r="A1029" t="s">
        <v>1048</v>
      </c>
      <c r="B1029" t="s">
        <v>621</v>
      </c>
      <c r="C1029" t="s">
        <v>14</v>
      </c>
      <c r="D1029" t="s">
        <v>11</v>
      </c>
      <c r="E1029" t="s">
        <v>9</v>
      </c>
    </row>
    <row r="1030" spans="1:5" x14ac:dyDescent="0.25">
      <c r="A1030" t="s">
        <v>1049</v>
      </c>
      <c r="B1030" t="s">
        <v>621</v>
      </c>
      <c r="C1030" t="s">
        <v>7</v>
      </c>
      <c r="D1030" t="s">
        <v>8</v>
      </c>
      <c r="E1030" t="s">
        <v>9</v>
      </c>
    </row>
    <row r="1031" spans="1:5" x14ac:dyDescent="0.25">
      <c r="A1031" t="s">
        <v>1050</v>
      </c>
      <c r="B1031" t="s">
        <v>621</v>
      </c>
      <c r="C1031" t="s">
        <v>14</v>
      </c>
      <c r="D1031" t="s">
        <v>11</v>
      </c>
      <c r="E1031" t="s">
        <v>9</v>
      </c>
    </row>
    <row r="1032" spans="1:5" x14ac:dyDescent="0.25">
      <c r="A1032" t="s">
        <v>1051</v>
      </c>
      <c r="B1032" t="s">
        <v>621</v>
      </c>
      <c r="C1032" t="s">
        <v>14</v>
      </c>
      <c r="D1032" t="s">
        <v>11</v>
      </c>
      <c r="E1032" t="s">
        <v>9</v>
      </c>
    </row>
    <row r="1033" spans="1:5" x14ac:dyDescent="0.25">
      <c r="A1033" t="s">
        <v>1052</v>
      </c>
      <c r="B1033" t="s">
        <v>621</v>
      </c>
      <c r="C1033" t="s">
        <v>14</v>
      </c>
      <c r="D1033" t="s">
        <v>11</v>
      </c>
      <c r="E1033" t="s">
        <v>16</v>
      </c>
    </row>
    <row r="1034" spans="1:5" x14ac:dyDescent="0.25">
      <c r="A1034" t="s">
        <v>1053</v>
      </c>
      <c r="B1034" t="s">
        <v>621</v>
      </c>
      <c r="C1034" t="s">
        <v>14</v>
      </c>
      <c r="D1034" t="s">
        <v>11</v>
      </c>
      <c r="E1034" t="s">
        <v>9</v>
      </c>
    </row>
    <row r="1035" spans="1:5" x14ac:dyDescent="0.25">
      <c r="A1035" t="s">
        <v>1054</v>
      </c>
      <c r="B1035" t="s">
        <v>621</v>
      </c>
      <c r="C1035" t="s">
        <v>7</v>
      </c>
      <c r="D1035" t="s">
        <v>11</v>
      </c>
      <c r="E1035" t="s">
        <v>9</v>
      </c>
    </row>
    <row r="1036" spans="1:5" x14ac:dyDescent="0.25">
      <c r="A1036" t="s">
        <v>1055</v>
      </c>
      <c r="B1036" t="s">
        <v>621</v>
      </c>
      <c r="C1036" t="s">
        <v>7</v>
      </c>
      <c r="D1036" t="s">
        <v>11</v>
      </c>
      <c r="E1036" t="s">
        <v>9</v>
      </c>
    </row>
    <row r="1037" spans="1:5" x14ac:dyDescent="0.25">
      <c r="A1037" t="s">
        <v>1056</v>
      </c>
      <c r="B1037" t="s">
        <v>621</v>
      </c>
      <c r="C1037" t="s">
        <v>7</v>
      </c>
      <c r="D1037" t="s">
        <v>11</v>
      </c>
      <c r="E1037" t="s">
        <v>9</v>
      </c>
    </row>
    <row r="1038" spans="1:5" x14ac:dyDescent="0.25">
      <c r="A1038" t="s">
        <v>1057</v>
      </c>
      <c r="B1038" t="s">
        <v>621</v>
      </c>
      <c r="C1038" t="s">
        <v>7</v>
      </c>
      <c r="D1038" t="s">
        <v>8</v>
      </c>
      <c r="E1038" t="s">
        <v>9</v>
      </c>
    </row>
    <row r="1039" spans="1:5" x14ac:dyDescent="0.25">
      <c r="A1039" t="s">
        <v>1058</v>
      </c>
      <c r="B1039" t="s">
        <v>621</v>
      </c>
      <c r="C1039" t="s">
        <v>7</v>
      </c>
      <c r="D1039" t="s">
        <v>8</v>
      </c>
      <c r="E1039" t="s">
        <v>9</v>
      </c>
    </row>
    <row r="1040" spans="1:5" x14ac:dyDescent="0.25">
      <c r="A1040" t="s">
        <v>1059</v>
      </c>
      <c r="B1040" t="s">
        <v>621</v>
      </c>
      <c r="C1040" t="s">
        <v>14</v>
      </c>
      <c r="D1040" t="s">
        <v>11</v>
      </c>
      <c r="E1040" t="s">
        <v>9</v>
      </c>
    </row>
    <row r="1041" spans="1:5" x14ac:dyDescent="0.25">
      <c r="A1041" t="s">
        <v>1060</v>
      </c>
      <c r="B1041" t="s">
        <v>621</v>
      </c>
      <c r="C1041" t="s">
        <v>7</v>
      </c>
      <c r="D1041" t="s">
        <v>8</v>
      </c>
      <c r="E1041" t="s">
        <v>9</v>
      </c>
    </row>
    <row r="1042" spans="1:5" x14ac:dyDescent="0.25">
      <c r="A1042" t="s">
        <v>1061</v>
      </c>
      <c r="B1042" t="s">
        <v>621</v>
      </c>
      <c r="C1042" t="s">
        <v>7</v>
      </c>
      <c r="D1042" t="s">
        <v>8</v>
      </c>
      <c r="E1042" t="s">
        <v>9</v>
      </c>
    </row>
    <row r="1043" spans="1:5" x14ac:dyDescent="0.25">
      <c r="A1043" t="s">
        <v>1062</v>
      </c>
      <c r="B1043" t="s">
        <v>621</v>
      </c>
      <c r="C1043" t="s">
        <v>14</v>
      </c>
      <c r="D1043" t="s">
        <v>11</v>
      </c>
      <c r="E1043" t="s">
        <v>9</v>
      </c>
    </row>
    <row r="1044" spans="1:5" x14ac:dyDescent="0.25">
      <c r="A1044" t="s">
        <v>1063</v>
      </c>
      <c r="B1044" t="s">
        <v>621</v>
      </c>
      <c r="C1044" t="s">
        <v>7</v>
      </c>
      <c r="D1044" t="s">
        <v>8</v>
      </c>
      <c r="E1044" t="s">
        <v>9</v>
      </c>
    </row>
    <row r="1045" spans="1:5" x14ac:dyDescent="0.25">
      <c r="A1045" t="s">
        <v>1064</v>
      </c>
      <c r="B1045" t="s">
        <v>621</v>
      </c>
      <c r="C1045" t="s">
        <v>7</v>
      </c>
      <c r="D1045" t="s">
        <v>8</v>
      </c>
      <c r="E1045" t="s">
        <v>9</v>
      </c>
    </row>
    <row r="1046" spans="1:5" x14ac:dyDescent="0.25">
      <c r="A1046" t="s">
        <v>1065</v>
      </c>
      <c r="B1046" t="s">
        <v>621</v>
      </c>
      <c r="C1046" t="s">
        <v>7</v>
      </c>
      <c r="D1046" t="s">
        <v>8</v>
      </c>
      <c r="E1046" t="s">
        <v>9</v>
      </c>
    </row>
    <row r="1047" spans="1:5" x14ac:dyDescent="0.25">
      <c r="A1047" t="s">
        <v>1066</v>
      </c>
      <c r="B1047" t="s">
        <v>621</v>
      </c>
      <c r="C1047" t="s">
        <v>14</v>
      </c>
      <c r="D1047" t="s">
        <v>11</v>
      </c>
      <c r="E1047" t="s">
        <v>29</v>
      </c>
    </row>
    <row r="1048" spans="1:5" x14ac:dyDescent="0.25">
      <c r="A1048" t="s">
        <v>1067</v>
      </c>
      <c r="B1048" t="s">
        <v>621</v>
      </c>
      <c r="C1048" t="s">
        <v>14</v>
      </c>
      <c r="D1048" t="s">
        <v>11</v>
      </c>
      <c r="E1048" t="s">
        <v>9</v>
      </c>
    </row>
    <row r="1049" spans="1:5" x14ac:dyDescent="0.25">
      <c r="A1049" t="s">
        <v>1068</v>
      </c>
      <c r="B1049" t="s">
        <v>621</v>
      </c>
      <c r="C1049" t="s">
        <v>7</v>
      </c>
      <c r="D1049" t="s">
        <v>8</v>
      </c>
      <c r="E1049" t="s">
        <v>29</v>
      </c>
    </row>
    <row r="1050" spans="1:5" x14ac:dyDescent="0.25">
      <c r="A1050" t="s">
        <v>1069</v>
      </c>
      <c r="B1050" t="s">
        <v>621</v>
      </c>
      <c r="C1050" t="s">
        <v>7</v>
      </c>
      <c r="D1050" t="s">
        <v>8</v>
      </c>
      <c r="E1050" t="s">
        <v>12</v>
      </c>
    </row>
    <row r="1051" spans="1:5" x14ac:dyDescent="0.25">
      <c r="A1051" t="s">
        <v>1070</v>
      </c>
      <c r="B1051" t="s">
        <v>621</v>
      </c>
      <c r="C1051" t="s">
        <v>7</v>
      </c>
      <c r="D1051" t="s">
        <v>11</v>
      </c>
      <c r="E1051" t="s">
        <v>9</v>
      </c>
    </row>
    <row r="1052" spans="1:5" x14ac:dyDescent="0.25">
      <c r="A1052" t="s">
        <v>1071</v>
      </c>
      <c r="B1052" t="s">
        <v>621</v>
      </c>
      <c r="C1052" t="s">
        <v>7</v>
      </c>
      <c r="D1052" t="s">
        <v>8</v>
      </c>
      <c r="E1052" t="s">
        <v>29</v>
      </c>
    </row>
    <row r="1053" spans="1:5" x14ac:dyDescent="0.25">
      <c r="A1053" t="s">
        <v>1072</v>
      </c>
      <c r="B1053" t="s">
        <v>621</v>
      </c>
      <c r="C1053" t="s">
        <v>14</v>
      </c>
      <c r="D1053" t="s">
        <v>11</v>
      </c>
      <c r="E1053" t="s">
        <v>16</v>
      </c>
    </row>
    <row r="1054" spans="1:5" x14ac:dyDescent="0.25">
      <c r="A1054" t="s">
        <v>1073</v>
      </c>
      <c r="B1054" t="s">
        <v>621</v>
      </c>
      <c r="C1054" t="s">
        <v>14</v>
      </c>
      <c r="D1054" t="s">
        <v>11</v>
      </c>
      <c r="E1054" t="s">
        <v>9</v>
      </c>
    </row>
    <row r="1055" spans="1:5" x14ac:dyDescent="0.25">
      <c r="A1055" t="s">
        <v>1074</v>
      </c>
      <c r="B1055" t="s">
        <v>621</v>
      </c>
      <c r="C1055" t="s">
        <v>14</v>
      </c>
      <c r="D1055" t="s">
        <v>11</v>
      </c>
      <c r="E1055" t="s">
        <v>9</v>
      </c>
    </row>
    <row r="1056" spans="1:5" x14ac:dyDescent="0.25">
      <c r="A1056" t="s">
        <v>1075</v>
      </c>
      <c r="B1056" t="s">
        <v>621</v>
      </c>
      <c r="C1056" t="s">
        <v>14</v>
      </c>
      <c r="D1056" t="s">
        <v>8</v>
      </c>
      <c r="E1056" t="s">
        <v>9</v>
      </c>
    </row>
    <row r="1057" spans="1:5" x14ac:dyDescent="0.25">
      <c r="A1057" t="s">
        <v>1076</v>
      </c>
      <c r="B1057" t="s">
        <v>621</v>
      </c>
      <c r="C1057" t="s">
        <v>14</v>
      </c>
      <c r="D1057" t="s">
        <v>11</v>
      </c>
      <c r="E1057" t="s">
        <v>9</v>
      </c>
    </row>
    <row r="1058" spans="1:5" x14ac:dyDescent="0.25">
      <c r="A1058" t="s">
        <v>1077</v>
      </c>
      <c r="B1058" t="s">
        <v>621</v>
      </c>
      <c r="C1058" t="s">
        <v>7</v>
      </c>
      <c r="D1058" t="s">
        <v>11</v>
      </c>
      <c r="E1058" t="s">
        <v>29</v>
      </c>
    </row>
    <row r="1059" spans="1:5" x14ac:dyDescent="0.25">
      <c r="A1059" t="s">
        <v>1078</v>
      </c>
      <c r="B1059" t="s">
        <v>621</v>
      </c>
      <c r="C1059" t="s">
        <v>7</v>
      </c>
      <c r="D1059" t="s">
        <v>8</v>
      </c>
      <c r="E1059" t="s">
        <v>29</v>
      </c>
    </row>
    <row r="1060" spans="1:5" x14ac:dyDescent="0.25">
      <c r="A1060" t="s">
        <v>1079</v>
      </c>
      <c r="B1060" t="s">
        <v>621</v>
      </c>
      <c r="C1060" t="s">
        <v>14</v>
      </c>
      <c r="D1060" t="s">
        <v>8</v>
      </c>
      <c r="E1060" t="s">
        <v>9</v>
      </c>
    </row>
    <row r="1061" spans="1:5" x14ac:dyDescent="0.25">
      <c r="A1061" t="s">
        <v>1080</v>
      </c>
      <c r="B1061" t="s">
        <v>621</v>
      </c>
      <c r="C1061" t="s">
        <v>14</v>
      </c>
      <c r="D1061" t="s">
        <v>11</v>
      </c>
      <c r="E1061" t="s">
        <v>9</v>
      </c>
    </row>
    <row r="1062" spans="1:5" x14ac:dyDescent="0.25">
      <c r="A1062" t="s">
        <v>1081</v>
      </c>
      <c r="B1062" t="s">
        <v>621</v>
      </c>
      <c r="C1062" t="s">
        <v>7</v>
      </c>
      <c r="D1062" t="s">
        <v>8</v>
      </c>
      <c r="E1062" t="s">
        <v>29</v>
      </c>
    </row>
    <row r="1063" spans="1:5" x14ac:dyDescent="0.25">
      <c r="A1063" t="s">
        <v>1082</v>
      </c>
      <c r="B1063" t="s">
        <v>621</v>
      </c>
      <c r="C1063" t="s">
        <v>7</v>
      </c>
      <c r="D1063" t="s">
        <v>8</v>
      </c>
      <c r="E1063" t="s">
        <v>9</v>
      </c>
    </row>
    <row r="1064" spans="1:5" x14ac:dyDescent="0.25">
      <c r="A1064" t="s">
        <v>1083</v>
      </c>
      <c r="B1064" t="s">
        <v>621</v>
      </c>
      <c r="C1064" t="s">
        <v>14</v>
      </c>
      <c r="D1064" t="s">
        <v>11</v>
      </c>
      <c r="E1064" t="s">
        <v>9</v>
      </c>
    </row>
    <row r="1065" spans="1:5" x14ac:dyDescent="0.25">
      <c r="A1065" t="s">
        <v>1084</v>
      </c>
      <c r="B1065" t="s">
        <v>621</v>
      </c>
      <c r="C1065" t="s">
        <v>14</v>
      </c>
      <c r="D1065" t="s">
        <v>11</v>
      </c>
      <c r="E1065" t="s">
        <v>19</v>
      </c>
    </row>
    <row r="1066" spans="1:5" x14ac:dyDescent="0.25">
      <c r="A1066" t="s">
        <v>1085</v>
      </c>
      <c r="B1066" t="s">
        <v>621</v>
      </c>
      <c r="C1066" t="s">
        <v>7</v>
      </c>
      <c r="D1066" t="s">
        <v>11</v>
      </c>
      <c r="E1066" t="s">
        <v>16</v>
      </c>
    </row>
    <row r="1067" spans="1:5" x14ac:dyDescent="0.25">
      <c r="A1067" t="s">
        <v>1086</v>
      </c>
      <c r="B1067" t="s">
        <v>621</v>
      </c>
      <c r="C1067" t="s">
        <v>14</v>
      </c>
      <c r="D1067" t="s">
        <v>11</v>
      </c>
      <c r="E1067" t="s">
        <v>9</v>
      </c>
    </row>
    <row r="1068" spans="1:5" x14ac:dyDescent="0.25">
      <c r="A1068" t="s">
        <v>1087</v>
      </c>
      <c r="B1068" t="s">
        <v>621</v>
      </c>
      <c r="C1068" t="s">
        <v>14</v>
      </c>
      <c r="D1068" t="s">
        <v>11</v>
      </c>
      <c r="E1068" t="s">
        <v>9</v>
      </c>
    </row>
    <row r="1069" spans="1:5" x14ac:dyDescent="0.25">
      <c r="A1069" t="s">
        <v>1088</v>
      </c>
      <c r="B1069" t="s">
        <v>621</v>
      </c>
      <c r="C1069" t="s">
        <v>7</v>
      </c>
      <c r="D1069" t="s">
        <v>8</v>
      </c>
      <c r="E1069" t="s">
        <v>9</v>
      </c>
    </row>
    <row r="1070" spans="1:5" x14ac:dyDescent="0.25">
      <c r="A1070" t="s">
        <v>1089</v>
      </c>
      <c r="B1070" t="s">
        <v>621</v>
      </c>
      <c r="C1070" t="s">
        <v>14</v>
      </c>
      <c r="D1070" t="s">
        <v>11</v>
      </c>
      <c r="E1070" t="s">
        <v>21</v>
      </c>
    </row>
    <row r="1071" spans="1:5" x14ac:dyDescent="0.25">
      <c r="A1071" t="s">
        <v>1090</v>
      </c>
      <c r="B1071" t="s">
        <v>621</v>
      </c>
      <c r="C1071" t="s">
        <v>14</v>
      </c>
      <c r="D1071" t="s">
        <v>11</v>
      </c>
      <c r="E1071" t="s">
        <v>9</v>
      </c>
    </row>
    <row r="1072" spans="1:5" x14ac:dyDescent="0.25">
      <c r="A1072" t="s">
        <v>1091</v>
      </c>
      <c r="B1072" t="s">
        <v>621</v>
      </c>
      <c r="C1072" t="s">
        <v>14</v>
      </c>
      <c r="D1072" t="s">
        <v>11</v>
      </c>
      <c r="E1072" t="s">
        <v>9</v>
      </c>
    </row>
    <row r="1073" spans="1:5" x14ac:dyDescent="0.25">
      <c r="A1073" t="s">
        <v>1092</v>
      </c>
      <c r="B1073" t="s">
        <v>621</v>
      </c>
      <c r="C1073" t="s">
        <v>7</v>
      </c>
      <c r="D1073" t="s">
        <v>8</v>
      </c>
      <c r="E1073" t="s">
        <v>9</v>
      </c>
    </row>
    <row r="1074" spans="1:5" x14ac:dyDescent="0.25">
      <c r="A1074" t="s">
        <v>1093</v>
      </c>
      <c r="B1074" t="s">
        <v>621</v>
      </c>
      <c r="C1074" t="s">
        <v>14</v>
      </c>
      <c r="D1074" t="s">
        <v>11</v>
      </c>
      <c r="E1074" t="s">
        <v>9</v>
      </c>
    </row>
    <row r="1075" spans="1:5" x14ac:dyDescent="0.25">
      <c r="A1075" t="s">
        <v>1094</v>
      </c>
      <c r="B1075" t="s">
        <v>621</v>
      </c>
      <c r="C1075" t="s">
        <v>14</v>
      </c>
      <c r="D1075" t="s">
        <v>11</v>
      </c>
      <c r="E1075" t="s">
        <v>9</v>
      </c>
    </row>
    <row r="1076" spans="1:5" x14ac:dyDescent="0.25">
      <c r="A1076" t="s">
        <v>1095</v>
      </c>
      <c r="B1076" t="s">
        <v>621</v>
      </c>
      <c r="C1076" t="s">
        <v>14</v>
      </c>
      <c r="D1076" t="s">
        <v>11</v>
      </c>
      <c r="E1076" t="s">
        <v>9</v>
      </c>
    </row>
    <row r="1077" spans="1:5" x14ac:dyDescent="0.25">
      <c r="A1077" t="s">
        <v>1096</v>
      </c>
      <c r="B1077" t="s">
        <v>621</v>
      </c>
      <c r="C1077" t="s">
        <v>14</v>
      </c>
      <c r="D1077" t="s">
        <v>11</v>
      </c>
      <c r="E1077" t="s">
        <v>9</v>
      </c>
    </row>
    <row r="1078" spans="1:5" x14ac:dyDescent="0.25">
      <c r="A1078" t="s">
        <v>1097</v>
      </c>
      <c r="B1078" t="s">
        <v>621</v>
      </c>
      <c r="C1078" t="s">
        <v>14</v>
      </c>
      <c r="D1078" t="s">
        <v>8</v>
      </c>
      <c r="E1078" t="s">
        <v>9</v>
      </c>
    </row>
    <row r="1079" spans="1:5" x14ac:dyDescent="0.25">
      <c r="A1079" t="s">
        <v>1098</v>
      </c>
      <c r="B1079" t="s">
        <v>621</v>
      </c>
      <c r="C1079" t="s">
        <v>7</v>
      </c>
      <c r="D1079" t="s">
        <v>8</v>
      </c>
      <c r="E1079" t="s">
        <v>9</v>
      </c>
    </row>
    <row r="1080" spans="1:5" x14ac:dyDescent="0.25">
      <c r="A1080" t="s">
        <v>1099</v>
      </c>
      <c r="B1080" t="s">
        <v>621</v>
      </c>
      <c r="C1080" t="s">
        <v>7</v>
      </c>
      <c r="D1080" t="s">
        <v>8</v>
      </c>
      <c r="E1080" t="s">
        <v>9</v>
      </c>
    </row>
    <row r="1081" spans="1:5" x14ac:dyDescent="0.25">
      <c r="A1081" t="s">
        <v>1100</v>
      </c>
      <c r="B1081" t="s">
        <v>621</v>
      </c>
      <c r="C1081" t="s">
        <v>7</v>
      </c>
      <c r="D1081" t="s">
        <v>8</v>
      </c>
      <c r="E1081" t="s">
        <v>9</v>
      </c>
    </row>
    <row r="1082" spans="1:5" x14ac:dyDescent="0.25">
      <c r="A1082" t="s">
        <v>1101</v>
      </c>
      <c r="B1082" t="s">
        <v>621</v>
      </c>
      <c r="C1082" t="s">
        <v>7</v>
      </c>
      <c r="D1082" t="s">
        <v>11</v>
      </c>
      <c r="E1082" t="s">
        <v>9</v>
      </c>
    </row>
    <row r="1083" spans="1:5" x14ac:dyDescent="0.25">
      <c r="A1083" t="s">
        <v>1102</v>
      </c>
      <c r="B1083" t="s">
        <v>621</v>
      </c>
      <c r="C1083" t="s">
        <v>7</v>
      </c>
      <c r="D1083" t="s">
        <v>8</v>
      </c>
      <c r="E1083" t="s">
        <v>9</v>
      </c>
    </row>
    <row r="1084" spans="1:5" x14ac:dyDescent="0.25">
      <c r="A1084" t="s">
        <v>1103</v>
      </c>
      <c r="B1084" t="s">
        <v>621</v>
      </c>
      <c r="C1084" t="s">
        <v>7</v>
      </c>
      <c r="D1084" t="s">
        <v>11</v>
      </c>
      <c r="E1084" t="s">
        <v>12</v>
      </c>
    </row>
    <row r="1085" spans="1:5" x14ac:dyDescent="0.25">
      <c r="A1085" t="s">
        <v>1104</v>
      </c>
      <c r="B1085" t="s">
        <v>621</v>
      </c>
      <c r="C1085" t="s">
        <v>14</v>
      </c>
      <c r="D1085" t="s">
        <v>11</v>
      </c>
      <c r="E1085" t="s">
        <v>9</v>
      </c>
    </row>
    <row r="1086" spans="1:5" x14ac:dyDescent="0.25">
      <c r="A1086" t="s">
        <v>1105</v>
      </c>
      <c r="B1086" t="s">
        <v>621</v>
      </c>
      <c r="C1086" t="s">
        <v>14</v>
      </c>
      <c r="D1086" t="s">
        <v>11</v>
      </c>
      <c r="E1086" t="s">
        <v>19</v>
      </c>
    </row>
    <row r="1087" spans="1:5" x14ac:dyDescent="0.25">
      <c r="A1087" t="s">
        <v>1106</v>
      </c>
      <c r="B1087" t="s">
        <v>621</v>
      </c>
      <c r="C1087" t="s">
        <v>14</v>
      </c>
      <c r="D1087" t="s">
        <v>11</v>
      </c>
      <c r="E1087" t="s">
        <v>9</v>
      </c>
    </row>
    <row r="1088" spans="1:5" x14ac:dyDescent="0.25">
      <c r="A1088" t="s">
        <v>1107</v>
      </c>
      <c r="B1088" t="s">
        <v>621</v>
      </c>
      <c r="C1088" t="s">
        <v>14</v>
      </c>
      <c r="D1088" t="s">
        <v>8</v>
      </c>
      <c r="E1088" t="s">
        <v>16</v>
      </c>
    </row>
    <row r="1089" spans="1:5" x14ac:dyDescent="0.25">
      <c r="A1089" t="s">
        <v>1108</v>
      </c>
      <c r="B1089" t="s">
        <v>621</v>
      </c>
      <c r="C1089" t="s">
        <v>14</v>
      </c>
      <c r="D1089" t="s">
        <v>11</v>
      </c>
      <c r="E1089" t="s">
        <v>9</v>
      </c>
    </row>
    <row r="1090" spans="1:5" x14ac:dyDescent="0.25">
      <c r="A1090" t="s">
        <v>1109</v>
      </c>
      <c r="B1090" t="s">
        <v>621</v>
      </c>
      <c r="C1090" t="s">
        <v>7</v>
      </c>
      <c r="D1090" t="s">
        <v>11</v>
      </c>
      <c r="E1090" t="s">
        <v>16</v>
      </c>
    </row>
    <row r="1091" spans="1:5" x14ac:dyDescent="0.25">
      <c r="A1091" t="s">
        <v>1110</v>
      </c>
      <c r="B1091" t="s">
        <v>621</v>
      </c>
      <c r="C1091" t="s">
        <v>14</v>
      </c>
      <c r="D1091" t="s">
        <v>11</v>
      </c>
      <c r="E1091" t="s">
        <v>9</v>
      </c>
    </row>
    <row r="1092" spans="1:5" x14ac:dyDescent="0.25">
      <c r="A1092" t="s">
        <v>1111</v>
      </c>
      <c r="B1092" t="s">
        <v>621</v>
      </c>
      <c r="C1092" t="s">
        <v>14</v>
      </c>
      <c r="D1092" t="s">
        <v>8</v>
      </c>
      <c r="E1092" t="s">
        <v>9</v>
      </c>
    </row>
    <row r="1093" spans="1:5" x14ac:dyDescent="0.25">
      <c r="A1093" t="s">
        <v>1112</v>
      </c>
      <c r="B1093" t="s">
        <v>621</v>
      </c>
      <c r="C1093" t="s">
        <v>14</v>
      </c>
      <c r="D1093" t="s">
        <v>8</v>
      </c>
      <c r="E1093" t="s">
        <v>9</v>
      </c>
    </row>
    <row r="1094" spans="1:5" x14ac:dyDescent="0.25">
      <c r="A1094" t="s">
        <v>1113</v>
      </c>
      <c r="B1094" t="s">
        <v>621</v>
      </c>
      <c r="C1094" t="s">
        <v>14</v>
      </c>
      <c r="D1094" t="s">
        <v>11</v>
      </c>
      <c r="E1094" t="s">
        <v>9</v>
      </c>
    </row>
    <row r="1095" spans="1:5" x14ac:dyDescent="0.25">
      <c r="A1095" t="s">
        <v>1114</v>
      </c>
      <c r="B1095" t="s">
        <v>621</v>
      </c>
      <c r="C1095" t="s">
        <v>14</v>
      </c>
      <c r="D1095" t="s">
        <v>11</v>
      </c>
      <c r="E1095" t="s">
        <v>29</v>
      </c>
    </row>
    <row r="1096" spans="1:5" x14ac:dyDescent="0.25">
      <c r="A1096" t="s">
        <v>1115</v>
      </c>
      <c r="B1096" t="s">
        <v>621</v>
      </c>
      <c r="C1096" t="s">
        <v>7</v>
      </c>
      <c r="D1096" t="s">
        <v>8</v>
      </c>
      <c r="E1096" t="s">
        <v>16</v>
      </c>
    </row>
    <row r="1097" spans="1:5" x14ac:dyDescent="0.25">
      <c r="A1097" t="s">
        <v>1116</v>
      </c>
      <c r="B1097" t="s">
        <v>621</v>
      </c>
      <c r="C1097" t="s">
        <v>14</v>
      </c>
      <c r="D1097" t="s">
        <v>8</v>
      </c>
      <c r="E1097" t="s">
        <v>9</v>
      </c>
    </row>
    <row r="1098" spans="1:5" x14ac:dyDescent="0.25">
      <c r="A1098" t="s">
        <v>1117</v>
      </c>
      <c r="B1098" t="s">
        <v>621</v>
      </c>
      <c r="C1098" t="s">
        <v>14</v>
      </c>
      <c r="D1098" t="s">
        <v>11</v>
      </c>
      <c r="E1098" t="s">
        <v>12</v>
      </c>
    </row>
    <row r="1099" spans="1:5" x14ac:dyDescent="0.25">
      <c r="A1099" t="s">
        <v>1118</v>
      </c>
      <c r="B1099" t="s">
        <v>621</v>
      </c>
      <c r="C1099" t="s">
        <v>14</v>
      </c>
      <c r="D1099" t="s">
        <v>11</v>
      </c>
      <c r="E1099" t="s">
        <v>12</v>
      </c>
    </row>
    <row r="1100" spans="1:5" x14ac:dyDescent="0.25">
      <c r="A1100" t="s">
        <v>1119</v>
      </c>
      <c r="B1100" t="s">
        <v>621</v>
      </c>
      <c r="C1100" t="s">
        <v>14</v>
      </c>
      <c r="D1100" t="s">
        <v>8</v>
      </c>
      <c r="E1100" t="s">
        <v>12</v>
      </c>
    </row>
    <row r="1101" spans="1:5" x14ac:dyDescent="0.25">
      <c r="A1101" t="s">
        <v>1120</v>
      </c>
      <c r="B1101" t="s">
        <v>621</v>
      </c>
      <c r="C1101" t="s">
        <v>14</v>
      </c>
      <c r="D1101" t="s">
        <v>8</v>
      </c>
      <c r="E1101" t="s">
        <v>12</v>
      </c>
    </row>
    <row r="1102" spans="1:5" x14ac:dyDescent="0.25">
      <c r="A1102" t="s">
        <v>1121</v>
      </c>
      <c r="B1102" t="s">
        <v>621</v>
      </c>
      <c r="C1102" t="s">
        <v>14</v>
      </c>
      <c r="D1102" t="s">
        <v>8</v>
      </c>
      <c r="E1102" t="s">
        <v>9</v>
      </c>
    </row>
    <row r="1103" spans="1:5" x14ac:dyDescent="0.25">
      <c r="A1103" t="s">
        <v>1122</v>
      </c>
      <c r="B1103" t="s">
        <v>621</v>
      </c>
      <c r="C1103" t="s">
        <v>14</v>
      </c>
      <c r="D1103" t="s">
        <v>11</v>
      </c>
      <c r="E1103" t="s">
        <v>12</v>
      </c>
    </row>
    <row r="1104" spans="1:5" x14ac:dyDescent="0.25">
      <c r="A1104" t="s">
        <v>1123</v>
      </c>
      <c r="B1104" t="s">
        <v>621</v>
      </c>
      <c r="C1104" t="s">
        <v>14</v>
      </c>
      <c r="D1104" t="s">
        <v>11</v>
      </c>
      <c r="E1104" t="s">
        <v>12</v>
      </c>
    </row>
    <row r="1105" spans="1:5" x14ac:dyDescent="0.25">
      <c r="A1105" t="s">
        <v>1124</v>
      </c>
      <c r="B1105" t="s">
        <v>621</v>
      </c>
      <c r="C1105" t="s">
        <v>14</v>
      </c>
      <c r="D1105" t="s">
        <v>11</v>
      </c>
      <c r="E1105" t="s">
        <v>12</v>
      </c>
    </row>
    <row r="1106" spans="1:5" x14ac:dyDescent="0.25">
      <c r="A1106" t="s">
        <v>1125</v>
      </c>
      <c r="B1106" t="s">
        <v>621</v>
      </c>
      <c r="C1106" t="s">
        <v>14</v>
      </c>
      <c r="D1106" t="s">
        <v>11</v>
      </c>
      <c r="E1106" t="s">
        <v>29</v>
      </c>
    </row>
    <row r="1107" spans="1:5" x14ac:dyDescent="0.25">
      <c r="A1107" t="s">
        <v>1126</v>
      </c>
      <c r="B1107" t="s">
        <v>621</v>
      </c>
      <c r="C1107" t="s">
        <v>14</v>
      </c>
      <c r="D1107" t="s">
        <v>11</v>
      </c>
      <c r="E1107" t="s">
        <v>29</v>
      </c>
    </row>
    <row r="1108" spans="1:5" x14ac:dyDescent="0.25">
      <c r="A1108" t="s">
        <v>1127</v>
      </c>
      <c r="B1108" t="s">
        <v>621</v>
      </c>
      <c r="C1108" t="s">
        <v>14</v>
      </c>
      <c r="D1108" t="s">
        <v>8</v>
      </c>
      <c r="E1108" t="s">
        <v>19</v>
      </c>
    </row>
    <row r="1109" spans="1:5" x14ac:dyDescent="0.25">
      <c r="A1109" t="s">
        <v>1128</v>
      </c>
      <c r="B1109" t="s">
        <v>621</v>
      </c>
      <c r="C1109" t="s">
        <v>14</v>
      </c>
      <c r="D1109" t="s">
        <v>11</v>
      </c>
      <c r="E1109" t="s">
        <v>9</v>
      </c>
    </row>
    <row r="1110" spans="1:5" x14ac:dyDescent="0.25">
      <c r="A1110" t="s">
        <v>1129</v>
      </c>
      <c r="B1110" t="s">
        <v>621</v>
      </c>
      <c r="C1110" t="s">
        <v>14</v>
      </c>
      <c r="D1110" t="s">
        <v>11</v>
      </c>
      <c r="E1110" t="s">
        <v>29</v>
      </c>
    </row>
    <row r="1111" spans="1:5" x14ac:dyDescent="0.25">
      <c r="A1111" t="s">
        <v>1130</v>
      </c>
      <c r="B1111" t="s">
        <v>621</v>
      </c>
      <c r="C1111" t="s">
        <v>14</v>
      </c>
      <c r="D1111" t="s">
        <v>11</v>
      </c>
      <c r="E1111" t="s">
        <v>9</v>
      </c>
    </row>
    <row r="1112" spans="1:5" x14ac:dyDescent="0.25">
      <c r="A1112" t="s">
        <v>1131</v>
      </c>
      <c r="B1112" t="s">
        <v>621</v>
      </c>
      <c r="C1112" t="s">
        <v>14</v>
      </c>
      <c r="D1112" t="s">
        <v>11</v>
      </c>
      <c r="E1112" t="s">
        <v>16</v>
      </c>
    </row>
    <row r="1113" spans="1:5" x14ac:dyDescent="0.25">
      <c r="A1113" t="s">
        <v>1132</v>
      </c>
      <c r="B1113" t="s">
        <v>621</v>
      </c>
      <c r="C1113" t="s">
        <v>14</v>
      </c>
      <c r="D1113" t="s">
        <v>11</v>
      </c>
      <c r="E1113" t="s">
        <v>12</v>
      </c>
    </row>
    <row r="1114" spans="1:5" x14ac:dyDescent="0.25">
      <c r="A1114" t="s">
        <v>1133</v>
      </c>
      <c r="B1114" t="s">
        <v>621</v>
      </c>
      <c r="C1114" t="s">
        <v>14</v>
      </c>
      <c r="D1114" t="s">
        <v>8</v>
      </c>
      <c r="E1114" t="s">
        <v>12</v>
      </c>
    </row>
    <row r="1115" spans="1:5" x14ac:dyDescent="0.25">
      <c r="A1115" t="s">
        <v>1134</v>
      </c>
      <c r="B1115" t="s">
        <v>621</v>
      </c>
      <c r="C1115" t="s">
        <v>14</v>
      </c>
      <c r="D1115" t="s">
        <v>8</v>
      </c>
      <c r="E1115" t="s">
        <v>9</v>
      </c>
    </row>
    <row r="1116" spans="1:5" x14ac:dyDescent="0.25">
      <c r="A1116" t="s">
        <v>1135</v>
      </c>
      <c r="B1116" t="s">
        <v>621</v>
      </c>
      <c r="C1116" t="s">
        <v>14</v>
      </c>
      <c r="D1116" t="s">
        <v>11</v>
      </c>
      <c r="E1116" t="s">
        <v>9</v>
      </c>
    </row>
    <row r="1117" spans="1:5" x14ac:dyDescent="0.25">
      <c r="A1117" t="s">
        <v>1136</v>
      </c>
      <c r="B1117" t="s">
        <v>621</v>
      </c>
      <c r="C1117" t="s">
        <v>14</v>
      </c>
      <c r="D1117" t="s">
        <v>11</v>
      </c>
      <c r="E1117" t="s">
        <v>9</v>
      </c>
    </row>
    <row r="1118" spans="1:5" x14ac:dyDescent="0.25">
      <c r="A1118" t="s">
        <v>1137</v>
      </c>
      <c r="B1118" t="s">
        <v>621</v>
      </c>
      <c r="C1118" t="s">
        <v>14</v>
      </c>
      <c r="D1118" t="s">
        <v>11</v>
      </c>
      <c r="E1118" t="s">
        <v>9</v>
      </c>
    </row>
    <row r="1119" spans="1:5" x14ac:dyDescent="0.25">
      <c r="A1119" t="s">
        <v>1138</v>
      </c>
      <c r="B1119" t="s">
        <v>621</v>
      </c>
      <c r="C1119" t="s">
        <v>14</v>
      </c>
      <c r="D1119" t="s">
        <v>11</v>
      </c>
      <c r="E1119" t="s">
        <v>9</v>
      </c>
    </row>
    <row r="1120" spans="1:5" x14ac:dyDescent="0.25">
      <c r="A1120" t="s">
        <v>1139</v>
      </c>
      <c r="B1120" t="s">
        <v>621</v>
      </c>
      <c r="C1120" t="s">
        <v>14</v>
      </c>
      <c r="D1120" t="s">
        <v>11</v>
      </c>
      <c r="E1120" t="s">
        <v>9</v>
      </c>
    </row>
    <row r="1121" spans="1:5" x14ac:dyDescent="0.25">
      <c r="A1121" t="s">
        <v>1140</v>
      </c>
      <c r="B1121" t="s">
        <v>621</v>
      </c>
      <c r="C1121" t="s">
        <v>14</v>
      </c>
      <c r="D1121" t="s">
        <v>11</v>
      </c>
      <c r="E1121" t="s">
        <v>9</v>
      </c>
    </row>
    <row r="1122" spans="1:5" x14ac:dyDescent="0.25">
      <c r="A1122" t="s">
        <v>1141</v>
      </c>
      <c r="B1122" t="s">
        <v>621</v>
      </c>
      <c r="C1122" t="s">
        <v>7</v>
      </c>
      <c r="D1122" t="s">
        <v>11</v>
      </c>
      <c r="E1122" t="s">
        <v>9</v>
      </c>
    </row>
    <row r="1123" spans="1:5" x14ac:dyDescent="0.25">
      <c r="A1123" t="s">
        <v>1142</v>
      </c>
      <c r="B1123" t="s">
        <v>621</v>
      </c>
      <c r="C1123" t="s">
        <v>7</v>
      </c>
      <c r="D1123" t="s">
        <v>11</v>
      </c>
      <c r="E1123" t="s">
        <v>9</v>
      </c>
    </row>
    <row r="1124" spans="1:5" x14ac:dyDescent="0.25">
      <c r="A1124" t="s">
        <v>1143</v>
      </c>
      <c r="B1124" t="s">
        <v>621</v>
      </c>
      <c r="C1124" t="s">
        <v>7</v>
      </c>
      <c r="D1124" t="s">
        <v>8</v>
      </c>
      <c r="E1124" t="s">
        <v>9</v>
      </c>
    </row>
    <row r="1125" spans="1:5" x14ac:dyDescent="0.25">
      <c r="A1125" t="s">
        <v>1144</v>
      </c>
      <c r="B1125" t="s">
        <v>621</v>
      </c>
      <c r="C1125" t="s">
        <v>7</v>
      </c>
      <c r="D1125" t="s">
        <v>8</v>
      </c>
      <c r="E1125" t="s">
        <v>9</v>
      </c>
    </row>
    <row r="1126" spans="1:5" x14ac:dyDescent="0.25">
      <c r="A1126" t="s">
        <v>1145</v>
      </c>
      <c r="B1126" t="s">
        <v>621</v>
      </c>
      <c r="C1126" t="s">
        <v>14</v>
      </c>
      <c r="D1126" t="s">
        <v>8</v>
      </c>
      <c r="E1126" t="s">
        <v>9</v>
      </c>
    </row>
    <row r="1127" spans="1:5" x14ac:dyDescent="0.25">
      <c r="A1127" t="s">
        <v>1146</v>
      </c>
      <c r="B1127" t="s">
        <v>621</v>
      </c>
      <c r="C1127" t="s">
        <v>14</v>
      </c>
      <c r="D1127" t="s">
        <v>11</v>
      </c>
      <c r="E1127" t="s">
        <v>9</v>
      </c>
    </row>
    <row r="1128" spans="1:5" x14ac:dyDescent="0.25">
      <c r="A1128" t="s">
        <v>1147</v>
      </c>
      <c r="B1128" t="s">
        <v>621</v>
      </c>
      <c r="C1128" t="s">
        <v>14</v>
      </c>
      <c r="D1128" t="s">
        <v>8</v>
      </c>
      <c r="E1128" t="s">
        <v>9</v>
      </c>
    </row>
    <row r="1129" spans="1:5" x14ac:dyDescent="0.25">
      <c r="A1129" t="s">
        <v>1148</v>
      </c>
      <c r="B1129" t="s">
        <v>621</v>
      </c>
      <c r="C1129" t="s">
        <v>14</v>
      </c>
      <c r="D1129" t="s">
        <v>11</v>
      </c>
      <c r="E1129" t="s">
        <v>29</v>
      </c>
    </row>
    <row r="1130" spans="1:5" x14ac:dyDescent="0.25">
      <c r="A1130" t="s">
        <v>1149</v>
      </c>
      <c r="B1130" t="s">
        <v>621</v>
      </c>
      <c r="C1130" t="s">
        <v>14</v>
      </c>
      <c r="D1130" t="s">
        <v>11</v>
      </c>
      <c r="E1130" t="s">
        <v>9</v>
      </c>
    </row>
    <row r="1131" spans="1:5" x14ac:dyDescent="0.25">
      <c r="A1131" t="s">
        <v>1150</v>
      </c>
      <c r="B1131" t="s">
        <v>621</v>
      </c>
      <c r="C1131" t="s">
        <v>14</v>
      </c>
      <c r="D1131" t="s">
        <v>11</v>
      </c>
      <c r="E1131" t="s">
        <v>9</v>
      </c>
    </row>
    <row r="1132" spans="1:5" x14ac:dyDescent="0.25">
      <c r="A1132" t="s">
        <v>1151</v>
      </c>
      <c r="B1132" t="s">
        <v>621</v>
      </c>
      <c r="C1132" t="s">
        <v>14</v>
      </c>
      <c r="D1132" t="s">
        <v>8</v>
      </c>
      <c r="E1132" t="s">
        <v>29</v>
      </c>
    </row>
    <row r="1133" spans="1:5" x14ac:dyDescent="0.25">
      <c r="A1133" t="s">
        <v>1152</v>
      </c>
      <c r="B1133" t="s">
        <v>621</v>
      </c>
      <c r="C1133" t="s">
        <v>7</v>
      </c>
      <c r="D1133" t="s">
        <v>11</v>
      </c>
      <c r="E1133" t="s">
        <v>16</v>
      </c>
    </row>
    <row r="1134" spans="1:5" x14ac:dyDescent="0.25">
      <c r="A1134" t="s">
        <v>1153</v>
      </c>
      <c r="B1134" t="s">
        <v>621</v>
      </c>
      <c r="C1134" t="s">
        <v>14</v>
      </c>
      <c r="D1134" t="s">
        <v>11</v>
      </c>
      <c r="E1134" t="s">
        <v>9</v>
      </c>
    </row>
    <row r="1135" spans="1:5" x14ac:dyDescent="0.25">
      <c r="A1135" t="s">
        <v>1154</v>
      </c>
      <c r="B1135" t="s">
        <v>621</v>
      </c>
      <c r="C1135" t="s">
        <v>14</v>
      </c>
      <c r="D1135" t="s">
        <v>11</v>
      </c>
      <c r="E1135" t="s">
        <v>29</v>
      </c>
    </row>
    <row r="1136" spans="1:5" x14ac:dyDescent="0.25">
      <c r="A1136" t="s">
        <v>1155</v>
      </c>
      <c r="B1136" t="s">
        <v>621</v>
      </c>
      <c r="C1136" t="s">
        <v>14</v>
      </c>
      <c r="D1136" t="s">
        <v>11</v>
      </c>
      <c r="E1136" t="s">
        <v>9</v>
      </c>
    </row>
    <row r="1137" spans="1:5" x14ac:dyDescent="0.25">
      <c r="A1137" t="s">
        <v>1156</v>
      </c>
      <c r="B1137" t="s">
        <v>621</v>
      </c>
      <c r="C1137" t="s">
        <v>14</v>
      </c>
      <c r="D1137" t="s">
        <v>11</v>
      </c>
      <c r="E1137" t="s">
        <v>9</v>
      </c>
    </row>
    <row r="1138" spans="1:5" x14ac:dyDescent="0.25">
      <c r="A1138" t="s">
        <v>1157</v>
      </c>
      <c r="B1138" t="s">
        <v>621</v>
      </c>
      <c r="C1138" t="s">
        <v>14</v>
      </c>
      <c r="D1138" t="s">
        <v>8</v>
      </c>
      <c r="E1138" t="s">
        <v>9</v>
      </c>
    </row>
    <row r="1139" spans="1:5" x14ac:dyDescent="0.25">
      <c r="A1139" t="s">
        <v>1158</v>
      </c>
      <c r="B1139" t="s">
        <v>621</v>
      </c>
      <c r="C1139" t="s">
        <v>14</v>
      </c>
      <c r="D1139" t="s">
        <v>11</v>
      </c>
      <c r="E1139" t="s">
        <v>9</v>
      </c>
    </row>
    <row r="1140" spans="1:5" x14ac:dyDescent="0.25">
      <c r="A1140" t="s">
        <v>1159</v>
      </c>
      <c r="B1140" t="s">
        <v>621</v>
      </c>
      <c r="C1140" t="s">
        <v>14</v>
      </c>
      <c r="D1140" t="s">
        <v>11</v>
      </c>
      <c r="E1140" t="s">
        <v>9</v>
      </c>
    </row>
    <row r="1141" spans="1:5" x14ac:dyDescent="0.25">
      <c r="A1141" t="s">
        <v>1160</v>
      </c>
      <c r="B1141" t="s">
        <v>621</v>
      </c>
      <c r="C1141" t="s">
        <v>14</v>
      </c>
      <c r="D1141" t="s">
        <v>11</v>
      </c>
      <c r="E1141" t="s">
        <v>16</v>
      </c>
    </row>
    <row r="1142" spans="1:5" x14ac:dyDescent="0.25">
      <c r="A1142" t="s">
        <v>1161</v>
      </c>
      <c r="B1142" t="s">
        <v>621</v>
      </c>
      <c r="C1142" t="s">
        <v>14</v>
      </c>
      <c r="D1142" t="s">
        <v>11</v>
      </c>
      <c r="E1142" t="s">
        <v>9</v>
      </c>
    </row>
    <row r="1143" spans="1:5" x14ac:dyDescent="0.25">
      <c r="A1143" t="s">
        <v>1162</v>
      </c>
      <c r="B1143" t="s">
        <v>621</v>
      </c>
      <c r="C1143" t="s">
        <v>14</v>
      </c>
      <c r="D1143" t="s">
        <v>11</v>
      </c>
      <c r="E1143" t="s">
        <v>29</v>
      </c>
    </row>
    <row r="1144" spans="1:5" x14ac:dyDescent="0.25">
      <c r="A1144" t="s">
        <v>1163</v>
      </c>
      <c r="B1144" t="s">
        <v>621</v>
      </c>
      <c r="C1144" t="s">
        <v>14</v>
      </c>
      <c r="D1144" t="s">
        <v>11</v>
      </c>
      <c r="E1144" t="s">
        <v>12</v>
      </c>
    </row>
    <row r="1145" spans="1:5" x14ac:dyDescent="0.25">
      <c r="A1145" t="s">
        <v>1164</v>
      </c>
      <c r="B1145" t="s">
        <v>621</v>
      </c>
      <c r="C1145" t="s">
        <v>14</v>
      </c>
      <c r="D1145" t="s">
        <v>11</v>
      </c>
      <c r="E1145" t="s">
        <v>12</v>
      </c>
    </row>
    <row r="1146" spans="1:5" x14ac:dyDescent="0.25">
      <c r="A1146" t="s">
        <v>1165</v>
      </c>
      <c r="B1146" t="s">
        <v>621</v>
      </c>
      <c r="C1146" t="s">
        <v>14</v>
      </c>
      <c r="D1146" t="s">
        <v>11</v>
      </c>
      <c r="E1146" t="s">
        <v>12</v>
      </c>
    </row>
    <row r="1147" spans="1:5" x14ac:dyDescent="0.25">
      <c r="A1147" t="s">
        <v>1166</v>
      </c>
      <c r="B1147" t="s">
        <v>621</v>
      </c>
      <c r="C1147" t="s">
        <v>14</v>
      </c>
      <c r="D1147" t="s">
        <v>11</v>
      </c>
      <c r="E1147" t="s">
        <v>12</v>
      </c>
    </row>
    <row r="1148" spans="1:5" x14ac:dyDescent="0.25">
      <c r="A1148" t="s">
        <v>1167</v>
      </c>
      <c r="B1148" t="s">
        <v>621</v>
      </c>
      <c r="C1148" t="s">
        <v>14</v>
      </c>
      <c r="D1148" t="s">
        <v>8</v>
      </c>
      <c r="E1148" t="s">
        <v>16</v>
      </c>
    </row>
    <row r="1149" spans="1:5" x14ac:dyDescent="0.25">
      <c r="A1149" t="s">
        <v>1168</v>
      </c>
      <c r="B1149" t="s">
        <v>621</v>
      </c>
      <c r="C1149" t="s">
        <v>14</v>
      </c>
      <c r="D1149" t="s">
        <v>8</v>
      </c>
      <c r="E1149" t="s">
        <v>9</v>
      </c>
    </row>
    <row r="1150" spans="1:5" x14ac:dyDescent="0.25">
      <c r="A1150" t="s">
        <v>1169</v>
      </c>
      <c r="B1150" t="s">
        <v>621</v>
      </c>
      <c r="C1150" t="s">
        <v>14</v>
      </c>
      <c r="D1150" t="s">
        <v>11</v>
      </c>
      <c r="E1150" t="s">
        <v>16</v>
      </c>
    </row>
    <row r="1151" spans="1:5" x14ac:dyDescent="0.25">
      <c r="A1151" t="s">
        <v>1170</v>
      </c>
      <c r="B1151" t="s">
        <v>621</v>
      </c>
      <c r="C1151" t="s">
        <v>7</v>
      </c>
      <c r="D1151" t="s">
        <v>8</v>
      </c>
      <c r="E1151" t="s">
        <v>9</v>
      </c>
    </row>
    <row r="1152" spans="1:5" x14ac:dyDescent="0.25">
      <c r="A1152" t="s">
        <v>1171</v>
      </c>
      <c r="B1152" t="s">
        <v>621</v>
      </c>
      <c r="C1152" t="s">
        <v>14</v>
      </c>
      <c r="D1152" t="s">
        <v>11</v>
      </c>
      <c r="E1152" t="s">
        <v>9</v>
      </c>
    </row>
    <row r="1153" spans="1:5" x14ac:dyDescent="0.25">
      <c r="A1153" t="s">
        <v>1172</v>
      </c>
      <c r="B1153" t="s">
        <v>621</v>
      </c>
      <c r="C1153" t="s">
        <v>14</v>
      </c>
      <c r="D1153" t="s">
        <v>8</v>
      </c>
      <c r="E1153" t="s">
        <v>9</v>
      </c>
    </row>
    <row r="1154" spans="1:5" x14ac:dyDescent="0.25">
      <c r="A1154" t="s">
        <v>1173</v>
      </c>
      <c r="B1154" t="s">
        <v>621</v>
      </c>
      <c r="C1154" t="s">
        <v>14</v>
      </c>
      <c r="D1154" t="s">
        <v>11</v>
      </c>
      <c r="E1154" t="s">
        <v>24</v>
      </c>
    </row>
    <row r="1155" spans="1:5" x14ac:dyDescent="0.25">
      <c r="A1155" t="s">
        <v>1174</v>
      </c>
      <c r="B1155" t="s">
        <v>621</v>
      </c>
      <c r="C1155" t="s">
        <v>14</v>
      </c>
      <c r="D1155" t="s">
        <v>8</v>
      </c>
      <c r="E1155" t="s">
        <v>19</v>
      </c>
    </row>
    <row r="1156" spans="1:5" x14ac:dyDescent="0.25">
      <c r="A1156" t="s">
        <v>1175</v>
      </c>
      <c r="B1156" t="s">
        <v>621</v>
      </c>
      <c r="C1156" t="s">
        <v>14</v>
      </c>
      <c r="D1156" t="s">
        <v>11</v>
      </c>
      <c r="E1156" t="s">
        <v>9</v>
      </c>
    </row>
    <row r="1157" spans="1:5" x14ac:dyDescent="0.25">
      <c r="A1157" t="s">
        <v>1176</v>
      </c>
      <c r="B1157" t="s">
        <v>621</v>
      </c>
      <c r="C1157" t="s">
        <v>14</v>
      </c>
      <c r="D1157" t="s">
        <v>11</v>
      </c>
      <c r="E1157" t="s">
        <v>9</v>
      </c>
    </row>
    <row r="1158" spans="1:5" x14ac:dyDescent="0.25">
      <c r="A1158" t="s">
        <v>1177</v>
      </c>
      <c r="B1158" t="s">
        <v>621</v>
      </c>
      <c r="C1158" t="s">
        <v>14</v>
      </c>
      <c r="D1158" t="s">
        <v>8</v>
      </c>
      <c r="E1158" t="s">
        <v>12</v>
      </c>
    </row>
    <row r="1159" spans="1:5" x14ac:dyDescent="0.25">
      <c r="A1159" t="s">
        <v>1178</v>
      </c>
      <c r="B1159" t="s">
        <v>621</v>
      </c>
      <c r="C1159" t="s">
        <v>14</v>
      </c>
      <c r="D1159" t="s">
        <v>11</v>
      </c>
      <c r="E1159" t="s">
        <v>29</v>
      </c>
    </row>
    <row r="1160" spans="1:5" x14ac:dyDescent="0.25">
      <c r="A1160" t="s">
        <v>1179</v>
      </c>
      <c r="B1160" t="s">
        <v>621</v>
      </c>
      <c r="C1160" t="s">
        <v>14</v>
      </c>
      <c r="D1160" t="s">
        <v>8</v>
      </c>
      <c r="E1160" t="s">
        <v>19</v>
      </c>
    </row>
    <row r="1161" spans="1:5" x14ac:dyDescent="0.25">
      <c r="A1161" t="s">
        <v>1180</v>
      </c>
      <c r="B1161" t="s">
        <v>621</v>
      </c>
      <c r="C1161" t="s">
        <v>7</v>
      </c>
      <c r="D1161" t="s">
        <v>8</v>
      </c>
      <c r="E1161" t="s">
        <v>9</v>
      </c>
    </row>
    <row r="1162" spans="1:5" x14ac:dyDescent="0.25">
      <c r="A1162" t="s">
        <v>1181</v>
      </c>
      <c r="B1162" t="s">
        <v>621</v>
      </c>
      <c r="C1162" t="s">
        <v>14</v>
      </c>
      <c r="D1162" t="s">
        <v>11</v>
      </c>
      <c r="E1162" t="s">
        <v>24</v>
      </c>
    </row>
    <row r="1163" spans="1:5" x14ac:dyDescent="0.25">
      <c r="A1163" t="s">
        <v>1182</v>
      </c>
      <c r="B1163" t="s">
        <v>621</v>
      </c>
      <c r="C1163" t="s">
        <v>14</v>
      </c>
      <c r="D1163" t="s">
        <v>11</v>
      </c>
      <c r="E1163" t="s">
        <v>29</v>
      </c>
    </row>
    <row r="1164" spans="1:5" x14ac:dyDescent="0.25">
      <c r="A1164" t="s">
        <v>1183</v>
      </c>
      <c r="B1164" t="s">
        <v>621</v>
      </c>
      <c r="C1164" t="s">
        <v>7</v>
      </c>
      <c r="D1164" t="s">
        <v>11</v>
      </c>
      <c r="E1164" t="s">
        <v>9</v>
      </c>
    </row>
    <row r="1165" spans="1:5" x14ac:dyDescent="0.25">
      <c r="A1165" t="s">
        <v>1184</v>
      </c>
      <c r="B1165" t="s">
        <v>621</v>
      </c>
      <c r="C1165" t="s">
        <v>14</v>
      </c>
      <c r="D1165" t="s">
        <v>11</v>
      </c>
      <c r="E1165" t="s">
        <v>9</v>
      </c>
    </row>
    <row r="1166" spans="1:5" x14ac:dyDescent="0.25">
      <c r="A1166" t="s">
        <v>1185</v>
      </c>
      <c r="B1166" t="s">
        <v>621</v>
      </c>
      <c r="C1166" t="s">
        <v>14</v>
      </c>
      <c r="D1166" t="s">
        <v>11</v>
      </c>
      <c r="E1166" t="s">
        <v>9</v>
      </c>
    </row>
    <row r="1167" spans="1:5" x14ac:dyDescent="0.25">
      <c r="A1167" t="s">
        <v>1186</v>
      </c>
      <c r="B1167" t="s">
        <v>621</v>
      </c>
      <c r="C1167" t="s">
        <v>14</v>
      </c>
      <c r="D1167" t="s">
        <v>11</v>
      </c>
      <c r="E1167" t="s">
        <v>9</v>
      </c>
    </row>
    <row r="1168" spans="1:5" x14ac:dyDescent="0.25">
      <c r="A1168" t="s">
        <v>1187</v>
      </c>
      <c r="B1168" t="s">
        <v>621</v>
      </c>
      <c r="C1168" t="s">
        <v>14</v>
      </c>
      <c r="D1168" t="s">
        <v>11</v>
      </c>
      <c r="E1168" t="s">
        <v>9</v>
      </c>
    </row>
    <row r="1169" spans="1:5" x14ac:dyDescent="0.25">
      <c r="A1169" t="s">
        <v>1188</v>
      </c>
      <c r="B1169" t="s">
        <v>621</v>
      </c>
      <c r="C1169" t="s">
        <v>14</v>
      </c>
      <c r="D1169" t="s">
        <v>11</v>
      </c>
      <c r="E1169" t="s">
        <v>9</v>
      </c>
    </row>
    <row r="1170" spans="1:5" x14ac:dyDescent="0.25">
      <c r="A1170" t="s">
        <v>1189</v>
      </c>
      <c r="B1170" t="s">
        <v>621</v>
      </c>
      <c r="C1170" t="s">
        <v>14</v>
      </c>
      <c r="D1170" t="s">
        <v>11</v>
      </c>
      <c r="E1170" t="s">
        <v>9</v>
      </c>
    </row>
    <row r="1171" spans="1:5" x14ac:dyDescent="0.25">
      <c r="A1171" t="s">
        <v>1190</v>
      </c>
      <c r="B1171" t="s">
        <v>621</v>
      </c>
      <c r="C1171" t="s">
        <v>14</v>
      </c>
      <c r="D1171" t="s">
        <v>11</v>
      </c>
      <c r="E1171" t="s">
        <v>16</v>
      </c>
    </row>
    <row r="1172" spans="1:5" x14ac:dyDescent="0.25">
      <c r="A1172" t="s">
        <v>1191</v>
      </c>
      <c r="B1172" t="s">
        <v>621</v>
      </c>
      <c r="C1172" t="s">
        <v>14</v>
      </c>
      <c r="D1172" t="s">
        <v>11</v>
      </c>
      <c r="E1172" t="s">
        <v>9</v>
      </c>
    </row>
    <row r="1173" spans="1:5" x14ac:dyDescent="0.25">
      <c r="A1173" t="s">
        <v>1192</v>
      </c>
      <c r="B1173" t="s">
        <v>621</v>
      </c>
      <c r="C1173" t="s">
        <v>14</v>
      </c>
      <c r="D1173" t="s">
        <v>11</v>
      </c>
      <c r="E1173" t="s">
        <v>29</v>
      </c>
    </row>
    <row r="1174" spans="1:5" x14ac:dyDescent="0.25">
      <c r="A1174" t="s">
        <v>1193</v>
      </c>
      <c r="B1174" t="s">
        <v>621</v>
      </c>
      <c r="C1174" t="s">
        <v>14</v>
      </c>
      <c r="D1174" t="s">
        <v>8</v>
      </c>
      <c r="E1174" t="s">
        <v>9</v>
      </c>
    </row>
    <row r="1175" spans="1:5" x14ac:dyDescent="0.25">
      <c r="A1175" t="s">
        <v>1194</v>
      </c>
      <c r="B1175" t="s">
        <v>621</v>
      </c>
      <c r="C1175" t="s">
        <v>14</v>
      </c>
      <c r="D1175" t="s">
        <v>8</v>
      </c>
      <c r="E1175" t="s">
        <v>9</v>
      </c>
    </row>
    <row r="1176" spans="1:5" x14ac:dyDescent="0.25">
      <c r="A1176" t="s">
        <v>1195</v>
      </c>
      <c r="B1176" t="s">
        <v>621</v>
      </c>
      <c r="C1176" t="s">
        <v>14</v>
      </c>
      <c r="D1176" t="s">
        <v>8</v>
      </c>
      <c r="E1176" t="s">
        <v>9</v>
      </c>
    </row>
    <row r="1177" spans="1:5" x14ac:dyDescent="0.25">
      <c r="A1177" t="s">
        <v>1196</v>
      </c>
      <c r="B1177" t="s">
        <v>621</v>
      </c>
      <c r="C1177" t="s">
        <v>14</v>
      </c>
      <c r="D1177" t="s">
        <v>8</v>
      </c>
      <c r="E1177" t="s">
        <v>9</v>
      </c>
    </row>
    <row r="1178" spans="1:5" x14ac:dyDescent="0.25">
      <c r="A1178" t="s">
        <v>1197</v>
      </c>
      <c r="B1178" t="s">
        <v>621</v>
      </c>
      <c r="C1178" t="s">
        <v>14</v>
      </c>
      <c r="D1178" t="s">
        <v>11</v>
      </c>
      <c r="E1178" t="s">
        <v>9</v>
      </c>
    </row>
    <row r="1179" spans="1:5" x14ac:dyDescent="0.25">
      <c r="A1179" t="s">
        <v>1198</v>
      </c>
      <c r="B1179" t="s">
        <v>621</v>
      </c>
      <c r="C1179" t="s">
        <v>14</v>
      </c>
      <c r="D1179" t="s">
        <v>11</v>
      </c>
      <c r="E1179" t="s">
        <v>9</v>
      </c>
    </row>
    <row r="1180" spans="1:5" x14ac:dyDescent="0.25">
      <c r="A1180" t="s">
        <v>1199</v>
      </c>
      <c r="B1180" t="s">
        <v>621</v>
      </c>
      <c r="C1180" t="s">
        <v>14</v>
      </c>
      <c r="D1180" t="s">
        <v>11</v>
      </c>
      <c r="E1180" t="s">
        <v>9</v>
      </c>
    </row>
    <row r="1181" spans="1:5" x14ac:dyDescent="0.25">
      <c r="A1181" t="s">
        <v>1200</v>
      </c>
      <c r="B1181" t="s">
        <v>621</v>
      </c>
      <c r="C1181" t="s">
        <v>14</v>
      </c>
      <c r="D1181" t="s">
        <v>11</v>
      </c>
      <c r="E1181" t="s">
        <v>9</v>
      </c>
    </row>
    <row r="1182" spans="1:5" x14ac:dyDescent="0.25">
      <c r="A1182" t="s">
        <v>1201</v>
      </c>
      <c r="B1182" t="s">
        <v>621</v>
      </c>
      <c r="C1182" t="s">
        <v>14</v>
      </c>
      <c r="D1182" t="s">
        <v>8</v>
      </c>
      <c r="E1182" t="s">
        <v>9</v>
      </c>
    </row>
    <row r="1183" spans="1:5" x14ac:dyDescent="0.25">
      <c r="A1183" t="s">
        <v>1202</v>
      </c>
      <c r="B1183" t="s">
        <v>621</v>
      </c>
      <c r="C1183" t="s">
        <v>14</v>
      </c>
      <c r="D1183" t="s">
        <v>11</v>
      </c>
      <c r="E1183" t="s">
        <v>9</v>
      </c>
    </row>
    <row r="1184" spans="1:5" x14ac:dyDescent="0.25">
      <c r="A1184" t="s">
        <v>1203</v>
      </c>
      <c r="B1184" t="s">
        <v>621</v>
      </c>
      <c r="C1184" t="s">
        <v>7</v>
      </c>
      <c r="D1184" t="s">
        <v>8</v>
      </c>
      <c r="E1184" t="s">
        <v>9</v>
      </c>
    </row>
    <row r="1185" spans="1:5" x14ac:dyDescent="0.25">
      <c r="A1185" t="s">
        <v>1204</v>
      </c>
      <c r="B1185" t="s">
        <v>621</v>
      </c>
      <c r="C1185" t="s">
        <v>14</v>
      </c>
      <c r="D1185" t="s">
        <v>11</v>
      </c>
      <c r="E1185" t="s">
        <v>16</v>
      </c>
    </row>
    <row r="1186" spans="1:5" x14ac:dyDescent="0.25">
      <c r="A1186" t="s">
        <v>1205</v>
      </c>
      <c r="B1186" t="s">
        <v>621</v>
      </c>
      <c r="C1186" t="s">
        <v>14</v>
      </c>
      <c r="D1186" t="s">
        <v>11</v>
      </c>
      <c r="E1186" t="s">
        <v>9</v>
      </c>
    </row>
    <row r="1187" spans="1:5" x14ac:dyDescent="0.25">
      <c r="A1187" t="s">
        <v>1206</v>
      </c>
      <c r="B1187" t="s">
        <v>621</v>
      </c>
      <c r="C1187" t="s">
        <v>14</v>
      </c>
      <c r="D1187" t="s">
        <v>11</v>
      </c>
      <c r="E1187" t="s">
        <v>9</v>
      </c>
    </row>
    <row r="1188" spans="1:5" x14ac:dyDescent="0.25">
      <c r="A1188" t="s">
        <v>1207</v>
      </c>
      <c r="B1188" t="s">
        <v>621</v>
      </c>
      <c r="C1188" t="s">
        <v>14</v>
      </c>
      <c r="D1188" t="s">
        <v>11</v>
      </c>
      <c r="E1188" t="s">
        <v>9</v>
      </c>
    </row>
    <row r="1189" spans="1:5" x14ac:dyDescent="0.25">
      <c r="A1189" t="s">
        <v>1208</v>
      </c>
      <c r="B1189" t="s">
        <v>621</v>
      </c>
      <c r="C1189" t="s">
        <v>7</v>
      </c>
      <c r="D1189" t="s">
        <v>8</v>
      </c>
      <c r="E1189" t="s">
        <v>12</v>
      </c>
    </row>
    <row r="1190" spans="1:5" x14ac:dyDescent="0.25">
      <c r="A1190" t="s">
        <v>1209</v>
      </c>
      <c r="B1190" t="s">
        <v>621</v>
      </c>
      <c r="C1190" t="s">
        <v>7</v>
      </c>
      <c r="D1190" t="s">
        <v>8</v>
      </c>
      <c r="E1190" t="s">
        <v>9</v>
      </c>
    </row>
    <row r="1191" spans="1:5" x14ac:dyDescent="0.25">
      <c r="A1191" t="s">
        <v>1210</v>
      </c>
      <c r="B1191" t="s">
        <v>621</v>
      </c>
      <c r="C1191" t="s">
        <v>7</v>
      </c>
      <c r="D1191" t="s">
        <v>8</v>
      </c>
      <c r="E1191" t="s">
        <v>12</v>
      </c>
    </row>
    <row r="1192" spans="1:5" x14ac:dyDescent="0.25">
      <c r="A1192" t="s">
        <v>1211</v>
      </c>
      <c r="B1192" t="s">
        <v>621</v>
      </c>
      <c r="C1192" t="s">
        <v>7</v>
      </c>
      <c r="D1192" t="s">
        <v>11</v>
      </c>
      <c r="E1192" t="s">
        <v>9</v>
      </c>
    </row>
    <row r="1193" spans="1:5" x14ac:dyDescent="0.25">
      <c r="A1193" t="s">
        <v>1212</v>
      </c>
      <c r="B1193" t="s">
        <v>621</v>
      </c>
      <c r="C1193" t="s">
        <v>14</v>
      </c>
      <c r="D1193" t="s">
        <v>11</v>
      </c>
      <c r="E1193" t="s">
        <v>9</v>
      </c>
    </row>
    <row r="1194" spans="1:5" x14ac:dyDescent="0.25">
      <c r="A1194" t="s">
        <v>1213</v>
      </c>
      <c r="B1194" t="s">
        <v>621</v>
      </c>
      <c r="C1194" t="s">
        <v>14</v>
      </c>
      <c r="D1194" t="s">
        <v>11</v>
      </c>
      <c r="E1194" t="s">
        <v>9</v>
      </c>
    </row>
    <row r="1195" spans="1:5" x14ac:dyDescent="0.25">
      <c r="A1195" t="s">
        <v>1214</v>
      </c>
      <c r="B1195" t="s">
        <v>621</v>
      </c>
      <c r="C1195" t="s">
        <v>14</v>
      </c>
      <c r="D1195" t="s">
        <v>11</v>
      </c>
      <c r="E1195" t="s">
        <v>9</v>
      </c>
    </row>
    <row r="1196" spans="1:5" x14ac:dyDescent="0.25">
      <c r="A1196" t="s">
        <v>1215</v>
      </c>
      <c r="B1196" t="s">
        <v>621</v>
      </c>
      <c r="C1196" t="s">
        <v>14</v>
      </c>
      <c r="D1196" t="s">
        <v>11</v>
      </c>
      <c r="E1196" t="s">
        <v>9</v>
      </c>
    </row>
    <row r="1197" spans="1:5" x14ac:dyDescent="0.25">
      <c r="A1197" t="s">
        <v>1216</v>
      </c>
      <c r="B1197" t="s">
        <v>621</v>
      </c>
      <c r="C1197" t="s">
        <v>14</v>
      </c>
      <c r="D1197" t="s">
        <v>11</v>
      </c>
      <c r="E1197" t="s">
        <v>9</v>
      </c>
    </row>
    <row r="1198" spans="1:5" x14ac:dyDescent="0.25">
      <c r="A1198" t="s">
        <v>1217</v>
      </c>
      <c r="B1198" t="s">
        <v>621</v>
      </c>
      <c r="C1198" t="s">
        <v>7</v>
      </c>
      <c r="D1198" t="s">
        <v>11</v>
      </c>
      <c r="E1198" t="s">
        <v>9</v>
      </c>
    </row>
    <row r="1199" spans="1:5" x14ac:dyDescent="0.25">
      <c r="A1199" t="s">
        <v>1218</v>
      </c>
      <c r="B1199" t="s">
        <v>621</v>
      </c>
      <c r="C1199" t="s">
        <v>14</v>
      </c>
      <c r="D1199" t="s">
        <v>11</v>
      </c>
      <c r="E1199" t="s">
        <v>9</v>
      </c>
    </row>
    <row r="1200" spans="1:5" x14ac:dyDescent="0.25">
      <c r="A1200" t="s">
        <v>1219</v>
      </c>
      <c r="B1200" t="s">
        <v>621</v>
      </c>
      <c r="C1200" t="s">
        <v>7</v>
      </c>
      <c r="D1200" t="s">
        <v>8</v>
      </c>
      <c r="E1200" t="s">
        <v>9</v>
      </c>
    </row>
    <row r="1201" spans="1:5" x14ac:dyDescent="0.25">
      <c r="A1201" t="s">
        <v>1220</v>
      </c>
      <c r="B1201" t="s">
        <v>621</v>
      </c>
      <c r="C1201" t="s">
        <v>14</v>
      </c>
      <c r="D1201" t="s">
        <v>11</v>
      </c>
      <c r="E1201" t="s">
        <v>9</v>
      </c>
    </row>
    <row r="1202" spans="1:5" x14ac:dyDescent="0.25">
      <c r="A1202" t="s">
        <v>1221</v>
      </c>
      <c r="B1202" t="s">
        <v>621</v>
      </c>
      <c r="C1202" t="s">
        <v>14</v>
      </c>
      <c r="D1202" t="s">
        <v>11</v>
      </c>
      <c r="E1202" t="s">
        <v>9</v>
      </c>
    </row>
    <row r="1203" spans="1:5" x14ac:dyDescent="0.25">
      <c r="A1203" t="s">
        <v>1222</v>
      </c>
      <c r="B1203" t="s">
        <v>621</v>
      </c>
      <c r="C1203" t="s">
        <v>14</v>
      </c>
      <c r="D1203" t="s">
        <v>11</v>
      </c>
      <c r="E1203" t="s">
        <v>9</v>
      </c>
    </row>
    <row r="1204" spans="1:5" x14ac:dyDescent="0.25">
      <c r="A1204" t="s">
        <v>1223</v>
      </c>
      <c r="B1204" t="s">
        <v>621</v>
      </c>
      <c r="C1204" t="s">
        <v>14</v>
      </c>
      <c r="D1204" t="s">
        <v>11</v>
      </c>
      <c r="E1204" t="s">
        <v>9</v>
      </c>
    </row>
    <row r="1205" spans="1:5" x14ac:dyDescent="0.25">
      <c r="A1205" t="s">
        <v>1224</v>
      </c>
      <c r="B1205" t="s">
        <v>621</v>
      </c>
      <c r="C1205" t="s">
        <v>14</v>
      </c>
      <c r="D1205" t="s">
        <v>11</v>
      </c>
      <c r="E1205" t="s">
        <v>19</v>
      </c>
    </row>
    <row r="1206" spans="1:5" x14ac:dyDescent="0.25">
      <c r="A1206" t="s">
        <v>1225</v>
      </c>
      <c r="B1206" t="s">
        <v>621</v>
      </c>
      <c r="C1206" t="s">
        <v>14</v>
      </c>
      <c r="D1206" t="s">
        <v>11</v>
      </c>
      <c r="E1206" t="s">
        <v>9</v>
      </c>
    </row>
    <row r="1207" spans="1:5" x14ac:dyDescent="0.25">
      <c r="A1207" t="s">
        <v>1226</v>
      </c>
      <c r="B1207" t="s">
        <v>621</v>
      </c>
      <c r="C1207" t="s">
        <v>7</v>
      </c>
      <c r="D1207" t="s">
        <v>8</v>
      </c>
      <c r="E1207" t="s">
        <v>29</v>
      </c>
    </row>
    <row r="1208" spans="1:5" x14ac:dyDescent="0.25">
      <c r="A1208" t="s">
        <v>1227</v>
      </c>
      <c r="B1208" t="s">
        <v>621</v>
      </c>
      <c r="C1208" t="s">
        <v>14</v>
      </c>
      <c r="D1208" t="s">
        <v>11</v>
      </c>
      <c r="E1208" t="s">
        <v>12</v>
      </c>
    </row>
    <row r="1209" spans="1:5" x14ac:dyDescent="0.25">
      <c r="A1209" t="s">
        <v>1228</v>
      </c>
      <c r="B1209" t="s">
        <v>621</v>
      </c>
      <c r="C1209" t="s">
        <v>14</v>
      </c>
      <c r="D1209" t="s">
        <v>11</v>
      </c>
      <c r="E1209" t="s">
        <v>29</v>
      </c>
    </row>
    <row r="1210" spans="1:5" x14ac:dyDescent="0.25">
      <c r="A1210" t="s">
        <v>1229</v>
      </c>
      <c r="B1210" t="s">
        <v>621</v>
      </c>
      <c r="C1210" t="s">
        <v>14</v>
      </c>
      <c r="D1210" t="s">
        <v>8</v>
      </c>
      <c r="E1210" t="s">
        <v>12</v>
      </c>
    </row>
    <row r="1211" spans="1:5" x14ac:dyDescent="0.25">
      <c r="A1211" t="s">
        <v>1230</v>
      </c>
      <c r="B1211" t="s">
        <v>621</v>
      </c>
      <c r="C1211" t="s">
        <v>14</v>
      </c>
      <c r="D1211" t="s">
        <v>8</v>
      </c>
      <c r="E1211" t="s">
        <v>12</v>
      </c>
    </row>
    <row r="1212" spans="1:5" x14ac:dyDescent="0.25">
      <c r="A1212" t="s">
        <v>1231</v>
      </c>
      <c r="B1212" t="s">
        <v>621</v>
      </c>
      <c r="C1212" t="s">
        <v>14</v>
      </c>
      <c r="D1212" t="s">
        <v>11</v>
      </c>
      <c r="E1212" t="s">
        <v>19</v>
      </c>
    </row>
    <row r="1213" spans="1:5" x14ac:dyDescent="0.25">
      <c r="A1213" t="s">
        <v>1232</v>
      </c>
      <c r="B1213" t="s">
        <v>621</v>
      </c>
      <c r="C1213" t="s">
        <v>14</v>
      </c>
      <c r="D1213" t="s">
        <v>8</v>
      </c>
      <c r="E1213" t="s">
        <v>19</v>
      </c>
    </row>
    <row r="1214" spans="1:5" x14ac:dyDescent="0.25">
      <c r="A1214" t="s">
        <v>1233</v>
      </c>
      <c r="B1214" t="s">
        <v>621</v>
      </c>
      <c r="C1214" t="s">
        <v>14</v>
      </c>
      <c r="D1214" t="s">
        <v>11</v>
      </c>
      <c r="E1214" t="s">
        <v>9</v>
      </c>
    </row>
    <row r="1215" spans="1:5" x14ac:dyDescent="0.25">
      <c r="A1215" t="s">
        <v>1234</v>
      </c>
      <c r="B1215" t="s">
        <v>621</v>
      </c>
      <c r="C1215" t="s">
        <v>14</v>
      </c>
      <c r="D1215" t="s">
        <v>11</v>
      </c>
      <c r="E1215" t="s">
        <v>9</v>
      </c>
    </row>
    <row r="1216" spans="1:5" x14ac:dyDescent="0.25">
      <c r="A1216" t="s">
        <v>1235</v>
      </c>
      <c r="B1216" t="s">
        <v>621</v>
      </c>
      <c r="C1216" t="s">
        <v>14</v>
      </c>
      <c r="D1216" t="s">
        <v>11</v>
      </c>
      <c r="E1216" t="s">
        <v>9</v>
      </c>
    </row>
    <row r="1217" spans="1:5" x14ac:dyDescent="0.25">
      <c r="A1217" t="s">
        <v>1236</v>
      </c>
      <c r="B1217" t="s">
        <v>621</v>
      </c>
      <c r="C1217" t="s">
        <v>14</v>
      </c>
      <c r="D1217" t="s">
        <v>11</v>
      </c>
      <c r="E1217" t="s">
        <v>9</v>
      </c>
    </row>
    <row r="1218" spans="1:5" x14ac:dyDescent="0.25">
      <c r="A1218" t="s">
        <v>1237</v>
      </c>
      <c r="B1218" t="s">
        <v>621</v>
      </c>
      <c r="C1218" t="s">
        <v>7</v>
      </c>
      <c r="D1218" t="s">
        <v>8</v>
      </c>
      <c r="E1218" t="s">
        <v>9</v>
      </c>
    </row>
    <row r="1219" spans="1:5" x14ac:dyDescent="0.25">
      <c r="A1219" t="s">
        <v>1238</v>
      </c>
      <c r="B1219" t="s">
        <v>621</v>
      </c>
      <c r="C1219" t="s">
        <v>14</v>
      </c>
      <c r="D1219" t="s">
        <v>11</v>
      </c>
      <c r="E1219" t="s">
        <v>29</v>
      </c>
    </row>
    <row r="1220" spans="1:5" x14ac:dyDescent="0.25">
      <c r="A1220" t="s">
        <v>1239</v>
      </c>
      <c r="B1220" t="s">
        <v>621</v>
      </c>
      <c r="C1220" t="s">
        <v>14</v>
      </c>
      <c r="D1220" t="s">
        <v>11</v>
      </c>
      <c r="E1220" t="s">
        <v>16</v>
      </c>
    </row>
    <row r="1221" spans="1:5" x14ac:dyDescent="0.25">
      <c r="A1221" t="s">
        <v>1240</v>
      </c>
      <c r="B1221" t="s">
        <v>621</v>
      </c>
      <c r="C1221" t="s">
        <v>14</v>
      </c>
      <c r="D1221" t="s">
        <v>11</v>
      </c>
      <c r="E1221" t="s">
        <v>9</v>
      </c>
    </row>
    <row r="1222" spans="1:5" x14ac:dyDescent="0.25">
      <c r="A1222" t="s">
        <v>1241</v>
      </c>
      <c r="B1222" t="s">
        <v>621</v>
      </c>
      <c r="C1222" t="s">
        <v>14</v>
      </c>
      <c r="D1222" t="s">
        <v>11</v>
      </c>
      <c r="E1222" t="s">
        <v>16</v>
      </c>
    </row>
    <row r="1223" spans="1:5" x14ac:dyDescent="0.25">
      <c r="A1223" t="s">
        <v>1242</v>
      </c>
      <c r="B1223" t="s">
        <v>621</v>
      </c>
      <c r="C1223" t="s">
        <v>14</v>
      </c>
      <c r="D1223" t="s">
        <v>11</v>
      </c>
      <c r="E1223" t="s">
        <v>9</v>
      </c>
    </row>
    <row r="1224" spans="1:5" x14ac:dyDescent="0.25">
      <c r="A1224" t="s">
        <v>1243</v>
      </c>
      <c r="B1224" t="s">
        <v>621</v>
      </c>
      <c r="C1224" t="s">
        <v>14</v>
      </c>
      <c r="D1224" t="s">
        <v>11</v>
      </c>
      <c r="E1224" t="s">
        <v>16</v>
      </c>
    </row>
    <row r="1225" spans="1:5" x14ac:dyDescent="0.25">
      <c r="A1225" t="s">
        <v>1244</v>
      </c>
      <c r="B1225" t="s">
        <v>621</v>
      </c>
      <c r="C1225" t="s">
        <v>7</v>
      </c>
      <c r="D1225" t="s">
        <v>8</v>
      </c>
      <c r="E1225" t="s">
        <v>9</v>
      </c>
    </row>
    <row r="1226" spans="1:5" x14ac:dyDescent="0.25">
      <c r="A1226" t="s">
        <v>1245</v>
      </c>
      <c r="B1226" t="s">
        <v>621</v>
      </c>
      <c r="C1226" t="s">
        <v>14</v>
      </c>
      <c r="D1226" t="s">
        <v>11</v>
      </c>
      <c r="E1226" t="s">
        <v>9</v>
      </c>
    </row>
    <row r="1227" spans="1:5" x14ac:dyDescent="0.25">
      <c r="A1227" t="s">
        <v>1246</v>
      </c>
      <c r="B1227" t="s">
        <v>621</v>
      </c>
      <c r="C1227" t="s">
        <v>14</v>
      </c>
      <c r="D1227" t="s">
        <v>11</v>
      </c>
      <c r="E1227" t="s">
        <v>21</v>
      </c>
    </row>
    <row r="1228" spans="1:5" x14ac:dyDescent="0.25">
      <c r="A1228" t="s">
        <v>1247</v>
      </c>
      <c r="B1228" t="s">
        <v>621</v>
      </c>
      <c r="C1228" t="s">
        <v>14</v>
      </c>
      <c r="D1228" t="s">
        <v>11</v>
      </c>
      <c r="E1228" t="s">
        <v>29</v>
      </c>
    </row>
    <row r="1229" spans="1:5" x14ac:dyDescent="0.25">
      <c r="A1229" t="s">
        <v>1248</v>
      </c>
      <c r="B1229" t="s">
        <v>621</v>
      </c>
      <c r="C1229" t="s">
        <v>14</v>
      </c>
      <c r="D1229" t="s">
        <v>8</v>
      </c>
      <c r="E1229" t="s">
        <v>9</v>
      </c>
    </row>
    <row r="1230" spans="1:5" x14ac:dyDescent="0.25">
      <c r="A1230" t="s">
        <v>1249</v>
      </c>
      <c r="B1230" t="s">
        <v>621</v>
      </c>
      <c r="C1230" t="s">
        <v>7</v>
      </c>
      <c r="D1230" t="s">
        <v>11</v>
      </c>
      <c r="E1230" t="s">
        <v>16</v>
      </c>
    </row>
    <row r="1231" spans="1:5" x14ac:dyDescent="0.25">
      <c r="A1231" t="s">
        <v>1250</v>
      </c>
      <c r="B1231" t="s">
        <v>621</v>
      </c>
      <c r="C1231" t="s">
        <v>14</v>
      </c>
      <c r="D1231" t="s">
        <v>11</v>
      </c>
      <c r="E1231" t="s">
        <v>9</v>
      </c>
    </row>
    <row r="1232" spans="1:5" x14ac:dyDescent="0.25">
      <c r="A1232" t="s">
        <v>1251</v>
      </c>
      <c r="B1232" t="s">
        <v>621</v>
      </c>
      <c r="C1232" t="s">
        <v>14</v>
      </c>
      <c r="D1232" t="s">
        <v>8</v>
      </c>
      <c r="E1232" t="s">
        <v>12</v>
      </c>
    </row>
    <row r="1233" spans="1:5" x14ac:dyDescent="0.25">
      <c r="A1233" t="s">
        <v>1252</v>
      </c>
      <c r="B1233" t="s">
        <v>621</v>
      </c>
      <c r="C1233" t="s">
        <v>14</v>
      </c>
      <c r="D1233" t="s">
        <v>8</v>
      </c>
      <c r="E1233" t="s">
        <v>9</v>
      </c>
    </row>
    <row r="1234" spans="1:5" x14ac:dyDescent="0.25">
      <c r="A1234" t="s">
        <v>1253</v>
      </c>
      <c r="B1234" t="s">
        <v>621</v>
      </c>
      <c r="C1234" t="s">
        <v>7</v>
      </c>
      <c r="D1234" t="s">
        <v>11</v>
      </c>
      <c r="E1234" t="s">
        <v>29</v>
      </c>
    </row>
    <row r="1235" spans="1:5" x14ac:dyDescent="0.25">
      <c r="A1235" t="s">
        <v>1254</v>
      </c>
      <c r="B1235" t="s">
        <v>621</v>
      </c>
      <c r="C1235" t="s">
        <v>7</v>
      </c>
      <c r="D1235" t="s">
        <v>11</v>
      </c>
      <c r="E1235" t="s">
        <v>19</v>
      </c>
    </row>
    <row r="1236" spans="1:5" x14ac:dyDescent="0.25">
      <c r="A1236" t="s">
        <v>1255</v>
      </c>
      <c r="B1236" t="s">
        <v>621</v>
      </c>
      <c r="C1236" t="s">
        <v>14</v>
      </c>
      <c r="D1236" t="s">
        <v>11</v>
      </c>
      <c r="E1236" t="s">
        <v>9</v>
      </c>
    </row>
    <row r="1237" spans="1:5" x14ac:dyDescent="0.25">
      <c r="A1237" t="s">
        <v>1256</v>
      </c>
      <c r="B1237" t="s">
        <v>621</v>
      </c>
      <c r="C1237" t="s">
        <v>14</v>
      </c>
      <c r="D1237" t="s">
        <v>11</v>
      </c>
      <c r="E1237" t="s">
        <v>26</v>
      </c>
    </row>
    <row r="1238" spans="1:5" x14ac:dyDescent="0.25">
      <c r="A1238" t="s">
        <v>1257</v>
      </c>
      <c r="B1238" t="s">
        <v>621</v>
      </c>
      <c r="C1238" t="s">
        <v>7</v>
      </c>
      <c r="D1238" t="s">
        <v>11</v>
      </c>
      <c r="E1238" t="s">
        <v>29</v>
      </c>
    </row>
    <row r="1239" spans="1:5" x14ac:dyDescent="0.25">
      <c r="A1239" t="s">
        <v>1258</v>
      </c>
      <c r="B1239" t="s">
        <v>621</v>
      </c>
      <c r="C1239" t="s">
        <v>14</v>
      </c>
      <c r="D1239" t="s">
        <v>11</v>
      </c>
      <c r="E1239" t="s">
        <v>9</v>
      </c>
    </row>
    <row r="1240" spans="1:5" x14ac:dyDescent="0.25">
      <c r="A1240" t="s">
        <v>1259</v>
      </c>
      <c r="B1240" t="s">
        <v>621</v>
      </c>
      <c r="C1240" t="s">
        <v>7</v>
      </c>
      <c r="D1240" t="s">
        <v>11</v>
      </c>
      <c r="E1240" t="s">
        <v>9</v>
      </c>
    </row>
    <row r="1241" spans="1:5" x14ac:dyDescent="0.25">
      <c r="A1241" t="s">
        <v>1260</v>
      </c>
      <c r="B1241" t="s">
        <v>621</v>
      </c>
      <c r="C1241" t="s">
        <v>14</v>
      </c>
      <c r="D1241" t="s">
        <v>11</v>
      </c>
      <c r="E1241" t="s">
        <v>16</v>
      </c>
    </row>
    <row r="1242" spans="1:5" x14ac:dyDescent="0.25">
      <c r="A1242" t="s">
        <v>1261</v>
      </c>
      <c r="B1242" t="s">
        <v>621</v>
      </c>
      <c r="C1242" t="s">
        <v>7</v>
      </c>
      <c r="D1242" t="s">
        <v>11</v>
      </c>
      <c r="E1242" t="s">
        <v>12</v>
      </c>
    </row>
    <row r="1243" spans="1:5" x14ac:dyDescent="0.25">
      <c r="A1243" t="s">
        <v>1262</v>
      </c>
      <c r="B1243" t="s">
        <v>621</v>
      </c>
      <c r="C1243" t="s">
        <v>14</v>
      </c>
      <c r="D1243" t="s">
        <v>11</v>
      </c>
      <c r="E1243" t="s">
        <v>9</v>
      </c>
    </row>
    <row r="1244" spans="1:5" x14ac:dyDescent="0.25">
      <c r="A1244" t="s">
        <v>1263</v>
      </c>
      <c r="B1244" t="s">
        <v>621</v>
      </c>
      <c r="C1244" t="s">
        <v>14</v>
      </c>
      <c r="D1244" t="s">
        <v>11</v>
      </c>
      <c r="E1244" t="s">
        <v>9</v>
      </c>
    </row>
    <row r="1245" spans="1:5" x14ac:dyDescent="0.25">
      <c r="A1245" t="s">
        <v>1264</v>
      </c>
      <c r="B1245" t="s">
        <v>621</v>
      </c>
      <c r="C1245" t="s">
        <v>14</v>
      </c>
      <c r="D1245" t="s">
        <v>11</v>
      </c>
      <c r="E1245" t="s">
        <v>9</v>
      </c>
    </row>
    <row r="1246" spans="1:5" x14ac:dyDescent="0.25">
      <c r="A1246" t="s">
        <v>1265</v>
      </c>
      <c r="B1246" t="s">
        <v>621</v>
      </c>
      <c r="C1246" t="s">
        <v>7</v>
      </c>
      <c r="D1246" t="s">
        <v>8</v>
      </c>
      <c r="E1246" t="s">
        <v>29</v>
      </c>
    </row>
    <row r="1247" spans="1:5" x14ac:dyDescent="0.25">
      <c r="A1247" t="s">
        <v>1266</v>
      </c>
      <c r="B1247" t="s">
        <v>621</v>
      </c>
      <c r="C1247" t="s">
        <v>14</v>
      </c>
      <c r="D1247" t="s">
        <v>11</v>
      </c>
      <c r="E1247" t="s">
        <v>9</v>
      </c>
    </row>
    <row r="1248" spans="1:5" x14ac:dyDescent="0.25">
      <c r="A1248" t="s">
        <v>1267</v>
      </c>
      <c r="B1248" t="s">
        <v>621</v>
      </c>
      <c r="C1248" t="s">
        <v>14</v>
      </c>
      <c r="D1248" t="s">
        <v>11</v>
      </c>
      <c r="E1248" t="s">
        <v>9</v>
      </c>
    </row>
    <row r="1249" spans="1:5" x14ac:dyDescent="0.25">
      <c r="A1249" t="s">
        <v>1268</v>
      </c>
      <c r="B1249" t="s">
        <v>621</v>
      </c>
      <c r="C1249" t="s">
        <v>7</v>
      </c>
      <c r="D1249" t="s">
        <v>8</v>
      </c>
      <c r="E1249" t="s">
        <v>9</v>
      </c>
    </row>
    <row r="1250" spans="1:5" x14ac:dyDescent="0.25">
      <c r="A1250" t="s">
        <v>1269</v>
      </c>
      <c r="B1250" t="s">
        <v>621</v>
      </c>
      <c r="C1250" t="s">
        <v>14</v>
      </c>
      <c r="D1250" t="s">
        <v>11</v>
      </c>
      <c r="E1250" t="s">
        <v>16</v>
      </c>
    </row>
    <row r="1251" spans="1:5" x14ac:dyDescent="0.25">
      <c r="A1251" t="s">
        <v>1270</v>
      </c>
      <c r="B1251" t="s">
        <v>621</v>
      </c>
      <c r="C1251" t="s">
        <v>14</v>
      </c>
      <c r="D1251" t="s">
        <v>11</v>
      </c>
      <c r="E1251" t="s">
        <v>9</v>
      </c>
    </row>
    <row r="1252" spans="1:5" x14ac:dyDescent="0.25">
      <c r="A1252" t="s">
        <v>1271</v>
      </c>
      <c r="B1252" t="s">
        <v>621</v>
      </c>
      <c r="C1252" t="s">
        <v>14</v>
      </c>
      <c r="D1252" t="s">
        <v>11</v>
      </c>
      <c r="E1252" t="s">
        <v>9</v>
      </c>
    </row>
    <row r="1253" spans="1:5" x14ac:dyDescent="0.25">
      <c r="A1253" t="s">
        <v>1272</v>
      </c>
      <c r="B1253" t="s">
        <v>621</v>
      </c>
      <c r="C1253" t="s">
        <v>14</v>
      </c>
      <c r="D1253" t="s">
        <v>11</v>
      </c>
      <c r="E1253" t="s">
        <v>16</v>
      </c>
    </row>
    <row r="1254" spans="1:5" x14ac:dyDescent="0.25">
      <c r="A1254" t="s">
        <v>1273</v>
      </c>
      <c r="B1254" t="s">
        <v>621</v>
      </c>
      <c r="C1254" t="s">
        <v>14</v>
      </c>
      <c r="D1254" t="s">
        <v>11</v>
      </c>
      <c r="E1254" t="s">
        <v>19</v>
      </c>
    </row>
    <row r="1255" spans="1:5" x14ac:dyDescent="0.25">
      <c r="A1255" t="s">
        <v>1274</v>
      </c>
      <c r="B1255" t="s">
        <v>621</v>
      </c>
      <c r="C1255" t="s">
        <v>14</v>
      </c>
      <c r="D1255" t="s">
        <v>11</v>
      </c>
      <c r="E1255" t="s">
        <v>9</v>
      </c>
    </row>
    <row r="1256" spans="1:5" x14ac:dyDescent="0.25">
      <c r="A1256" t="s">
        <v>1275</v>
      </c>
      <c r="B1256" t="s">
        <v>621</v>
      </c>
      <c r="C1256" t="s">
        <v>7</v>
      </c>
      <c r="D1256" t="s">
        <v>11</v>
      </c>
      <c r="E1256" t="s">
        <v>9</v>
      </c>
    </row>
    <row r="1257" spans="1:5" x14ac:dyDescent="0.25">
      <c r="A1257" t="s">
        <v>1276</v>
      </c>
      <c r="B1257" t="s">
        <v>621</v>
      </c>
      <c r="C1257" t="s">
        <v>14</v>
      </c>
      <c r="D1257" t="s">
        <v>11</v>
      </c>
      <c r="E1257" t="s">
        <v>9</v>
      </c>
    </row>
    <row r="1258" spans="1:5" x14ac:dyDescent="0.25">
      <c r="A1258" t="s">
        <v>1277</v>
      </c>
      <c r="B1258" t="s">
        <v>621</v>
      </c>
      <c r="C1258" t="s">
        <v>7</v>
      </c>
      <c r="D1258" t="s">
        <v>11</v>
      </c>
      <c r="E1258" t="s">
        <v>12</v>
      </c>
    </row>
    <row r="1259" spans="1:5" x14ac:dyDescent="0.25">
      <c r="A1259" t="s">
        <v>1278</v>
      </c>
      <c r="B1259" t="s">
        <v>621</v>
      </c>
      <c r="C1259" t="s">
        <v>7</v>
      </c>
      <c r="D1259" t="s">
        <v>8</v>
      </c>
      <c r="E1259" t="s">
        <v>12</v>
      </c>
    </row>
    <row r="1260" spans="1:5" x14ac:dyDescent="0.25">
      <c r="A1260" t="s">
        <v>1279</v>
      </c>
      <c r="B1260" t="s">
        <v>621</v>
      </c>
      <c r="C1260" t="s">
        <v>7</v>
      </c>
      <c r="D1260" t="s">
        <v>8</v>
      </c>
      <c r="E1260" t="s">
        <v>9</v>
      </c>
    </row>
    <row r="1261" spans="1:5" x14ac:dyDescent="0.25">
      <c r="A1261" t="s">
        <v>1280</v>
      </c>
      <c r="B1261" t="s">
        <v>621</v>
      </c>
      <c r="C1261" t="s">
        <v>14</v>
      </c>
      <c r="D1261" t="s">
        <v>11</v>
      </c>
      <c r="E1261" t="s">
        <v>16</v>
      </c>
    </row>
    <row r="1262" spans="1:5" x14ac:dyDescent="0.25">
      <c r="A1262" t="s">
        <v>1281</v>
      </c>
      <c r="B1262" t="s">
        <v>621</v>
      </c>
      <c r="C1262" t="s">
        <v>7</v>
      </c>
      <c r="D1262" t="s">
        <v>8</v>
      </c>
      <c r="E1262" t="s">
        <v>29</v>
      </c>
    </row>
    <row r="1263" spans="1:5" x14ac:dyDescent="0.25">
      <c r="A1263" t="s">
        <v>1282</v>
      </c>
      <c r="B1263" t="s">
        <v>621</v>
      </c>
      <c r="C1263" t="s">
        <v>7</v>
      </c>
      <c r="D1263" t="s">
        <v>8</v>
      </c>
      <c r="E1263" t="s">
        <v>21</v>
      </c>
    </row>
    <row r="1264" spans="1:5" x14ac:dyDescent="0.25">
      <c r="A1264" t="s">
        <v>1283</v>
      </c>
      <c r="B1264" t="s">
        <v>621</v>
      </c>
      <c r="C1264" t="s">
        <v>14</v>
      </c>
      <c r="D1264" t="s">
        <v>11</v>
      </c>
      <c r="E1264" t="s">
        <v>9</v>
      </c>
    </row>
    <row r="1265" spans="1:5" x14ac:dyDescent="0.25">
      <c r="A1265" t="s">
        <v>1284</v>
      </c>
      <c r="B1265" t="s">
        <v>621</v>
      </c>
      <c r="C1265" t="s">
        <v>14</v>
      </c>
      <c r="D1265" t="s">
        <v>11</v>
      </c>
      <c r="E1265" t="s">
        <v>29</v>
      </c>
    </row>
    <row r="1266" spans="1:5" x14ac:dyDescent="0.25">
      <c r="A1266" t="s">
        <v>1285</v>
      </c>
      <c r="B1266" t="s">
        <v>621</v>
      </c>
      <c r="C1266" t="s">
        <v>14</v>
      </c>
      <c r="D1266" t="s">
        <v>11</v>
      </c>
      <c r="E1266" t="s">
        <v>19</v>
      </c>
    </row>
    <row r="1267" spans="1:5" x14ac:dyDescent="0.25">
      <c r="A1267" t="s">
        <v>1286</v>
      </c>
      <c r="B1267" t="s">
        <v>621</v>
      </c>
      <c r="C1267" t="s">
        <v>14</v>
      </c>
      <c r="D1267" t="s">
        <v>8</v>
      </c>
      <c r="E1267" t="s">
        <v>29</v>
      </c>
    </row>
    <row r="1268" spans="1:5" x14ac:dyDescent="0.25">
      <c r="A1268" t="s">
        <v>1287</v>
      </c>
      <c r="B1268" t="s">
        <v>621</v>
      </c>
      <c r="C1268" t="s">
        <v>14</v>
      </c>
      <c r="D1268" t="s">
        <v>11</v>
      </c>
      <c r="E1268" t="s">
        <v>16</v>
      </c>
    </row>
    <row r="1269" spans="1:5" x14ac:dyDescent="0.25">
      <c r="A1269" t="s">
        <v>1288</v>
      </c>
      <c r="B1269" t="s">
        <v>621</v>
      </c>
      <c r="C1269" t="s">
        <v>14</v>
      </c>
      <c r="D1269" t="s">
        <v>8</v>
      </c>
      <c r="E1269" t="s">
        <v>16</v>
      </c>
    </row>
    <row r="1270" spans="1:5" x14ac:dyDescent="0.25">
      <c r="A1270" t="s">
        <v>1289</v>
      </c>
      <c r="B1270" t="s">
        <v>621</v>
      </c>
      <c r="C1270" t="s">
        <v>14</v>
      </c>
      <c r="D1270" t="s">
        <v>11</v>
      </c>
      <c r="E1270" t="s">
        <v>9</v>
      </c>
    </row>
    <row r="1271" spans="1:5" x14ac:dyDescent="0.25">
      <c r="A1271" t="s">
        <v>1290</v>
      </c>
      <c r="B1271" t="s">
        <v>621</v>
      </c>
      <c r="C1271" t="s">
        <v>14</v>
      </c>
      <c r="D1271" t="s">
        <v>11</v>
      </c>
      <c r="E1271" t="s">
        <v>16</v>
      </c>
    </row>
    <row r="1272" spans="1:5" x14ac:dyDescent="0.25">
      <c r="A1272" t="s">
        <v>1291</v>
      </c>
      <c r="B1272" t="s">
        <v>621</v>
      </c>
      <c r="C1272" t="s">
        <v>14</v>
      </c>
      <c r="D1272" t="s">
        <v>11</v>
      </c>
      <c r="E1272" t="s">
        <v>9</v>
      </c>
    </row>
    <row r="1273" spans="1:5" x14ac:dyDescent="0.25">
      <c r="A1273" t="s">
        <v>1292</v>
      </c>
      <c r="B1273" t="s">
        <v>621</v>
      </c>
      <c r="C1273" t="s">
        <v>14</v>
      </c>
      <c r="D1273" t="s">
        <v>11</v>
      </c>
      <c r="E1273" t="s">
        <v>9</v>
      </c>
    </row>
    <row r="1274" spans="1:5" x14ac:dyDescent="0.25">
      <c r="A1274" t="s">
        <v>1293</v>
      </c>
      <c r="B1274" t="s">
        <v>621</v>
      </c>
      <c r="C1274" t="s">
        <v>14</v>
      </c>
      <c r="D1274" t="s">
        <v>11</v>
      </c>
      <c r="E1274" t="s">
        <v>19</v>
      </c>
    </row>
    <row r="1275" spans="1:5" x14ac:dyDescent="0.25">
      <c r="A1275" t="s">
        <v>1294</v>
      </c>
      <c r="B1275" t="s">
        <v>621</v>
      </c>
      <c r="C1275" t="s">
        <v>14</v>
      </c>
      <c r="D1275" t="s">
        <v>8</v>
      </c>
      <c r="E1275" t="s">
        <v>29</v>
      </c>
    </row>
    <row r="1276" spans="1:5" x14ac:dyDescent="0.25">
      <c r="A1276" t="s">
        <v>1295</v>
      </c>
      <c r="B1276" t="s">
        <v>621</v>
      </c>
      <c r="C1276" t="s">
        <v>14</v>
      </c>
      <c r="D1276" t="s">
        <v>11</v>
      </c>
      <c r="E1276" t="s">
        <v>16</v>
      </c>
    </row>
    <row r="1277" spans="1:5" x14ac:dyDescent="0.25">
      <c r="A1277" t="s">
        <v>1296</v>
      </c>
      <c r="B1277" t="s">
        <v>621</v>
      </c>
      <c r="C1277" t="s">
        <v>14</v>
      </c>
      <c r="D1277" t="s">
        <v>11</v>
      </c>
      <c r="E1277" t="s">
        <v>29</v>
      </c>
    </row>
    <row r="1278" spans="1:5" x14ac:dyDescent="0.25">
      <c r="A1278" t="s">
        <v>1297</v>
      </c>
      <c r="B1278" t="s">
        <v>621</v>
      </c>
      <c r="C1278" t="s">
        <v>14</v>
      </c>
      <c r="D1278" t="s">
        <v>8</v>
      </c>
      <c r="E1278" t="s">
        <v>16</v>
      </c>
    </row>
    <row r="1279" spans="1:5" x14ac:dyDescent="0.25">
      <c r="A1279" t="s">
        <v>1298</v>
      </c>
      <c r="B1279" t="s">
        <v>621</v>
      </c>
      <c r="C1279" t="s">
        <v>7</v>
      </c>
      <c r="D1279" t="s">
        <v>11</v>
      </c>
      <c r="E1279" t="s">
        <v>9</v>
      </c>
    </row>
    <row r="1280" spans="1:5" x14ac:dyDescent="0.25">
      <c r="A1280" t="s">
        <v>1299</v>
      </c>
      <c r="B1280" t="s">
        <v>621</v>
      </c>
      <c r="C1280" t="s">
        <v>14</v>
      </c>
      <c r="D1280" t="s">
        <v>11</v>
      </c>
      <c r="E1280" t="s">
        <v>9</v>
      </c>
    </row>
    <row r="1281" spans="1:5" x14ac:dyDescent="0.25">
      <c r="A1281" t="s">
        <v>1300</v>
      </c>
      <c r="B1281" t="s">
        <v>621</v>
      </c>
      <c r="C1281" t="s">
        <v>14</v>
      </c>
      <c r="D1281" t="s">
        <v>8</v>
      </c>
      <c r="E1281" t="s">
        <v>29</v>
      </c>
    </row>
    <row r="1282" spans="1:5" x14ac:dyDescent="0.25">
      <c r="A1282" t="s">
        <v>1301</v>
      </c>
      <c r="B1282" t="s">
        <v>621</v>
      </c>
      <c r="C1282" t="s">
        <v>14</v>
      </c>
      <c r="D1282" t="s">
        <v>11</v>
      </c>
      <c r="E1282" t="s">
        <v>9</v>
      </c>
    </row>
    <row r="1283" spans="1:5" x14ac:dyDescent="0.25">
      <c r="A1283" t="s">
        <v>1302</v>
      </c>
      <c r="B1283" t="s">
        <v>621</v>
      </c>
      <c r="C1283" t="s">
        <v>14</v>
      </c>
      <c r="D1283" t="s">
        <v>11</v>
      </c>
      <c r="E1283" t="s">
        <v>9</v>
      </c>
    </row>
    <row r="1284" spans="1:5" x14ac:dyDescent="0.25">
      <c r="A1284" t="s">
        <v>1303</v>
      </c>
      <c r="B1284" t="s">
        <v>621</v>
      </c>
      <c r="C1284" t="s">
        <v>14</v>
      </c>
      <c r="D1284" t="s">
        <v>11</v>
      </c>
      <c r="E1284" t="s">
        <v>9</v>
      </c>
    </row>
    <row r="1285" spans="1:5" x14ac:dyDescent="0.25">
      <c r="A1285" t="s">
        <v>1304</v>
      </c>
      <c r="B1285" t="s">
        <v>621</v>
      </c>
      <c r="C1285" t="s">
        <v>14</v>
      </c>
      <c r="D1285" t="s">
        <v>11</v>
      </c>
      <c r="E1285" t="s">
        <v>9</v>
      </c>
    </row>
    <row r="1286" spans="1:5" x14ac:dyDescent="0.25">
      <c r="A1286" t="s">
        <v>1305</v>
      </c>
      <c r="B1286" t="s">
        <v>621</v>
      </c>
      <c r="C1286" t="s">
        <v>14</v>
      </c>
      <c r="D1286" t="s">
        <v>11</v>
      </c>
      <c r="E1286" t="s">
        <v>9</v>
      </c>
    </row>
    <row r="1287" spans="1:5" x14ac:dyDescent="0.25">
      <c r="A1287" t="s">
        <v>1306</v>
      </c>
      <c r="B1287" t="s">
        <v>621</v>
      </c>
      <c r="C1287" t="s">
        <v>14</v>
      </c>
      <c r="D1287" t="s">
        <v>11</v>
      </c>
      <c r="E1287" t="s">
        <v>16</v>
      </c>
    </row>
    <row r="1288" spans="1:5" x14ac:dyDescent="0.25">
      <c r="A1288" t="s">
        <v>1307</v>
      </c>
      <c r="B1288" t="s">
        <v>621</v>
      </c>
      <c r="C1288" t="s">
        <v>7</v>
      </c>
      <c r="D1288" t="s">
        <v>8</v>
      </c>
      <c r="E1288" t="s">
        <v>16</v>
      </c>
    </row>
    <row r="1289" spans="1:5" x14ac:dyDescent="0.25">
      <c r="A1289" t="s">
        <v>1308</v>
      </c>
      <c r="B1289" t="s">
        <v>621</v>
      </c>
      <c r="C1289" t="s">
        <v>14</v>
      </c>
      <c r="D1289" t="s">
        <v>11</v>
      </c>
      <c r="E1289" t="s">
        <v>24</v>
      </c>
    </row>
    <row r="1290" spans="1:5" x14ac:dyDescent="0.25">
      <c r="A1290" t="s">
        <v>1309</v>
      </c>
      <c r="B1290" t="s">
        <v>621</v>
      </c>
      <c r="C1290" t="s">
        <v>14</v>
      </c>
      <c r="D1290" t="s">
        <v>11</v>
      </c>
      <c r="E1290" t="s">
        <v>29</v>
      </c>
    </row>
    <row r="1291" spans="1:5" x14ac:dyDescent="0.25">
      <c r="A1291" t="s">
        <v>1310</v>
      </c>
      <c r="B1291" t="s">
        <v>621</v>
      </c>
      <c r="C1291" t="s">
        <v>14</v>
      </c>
      <c r="D1291" t="s">
        <v>11</v>
      </c>
      <c r="E1291" t="s">
        <v>9</v>
      </c>
    </row>
    <row r="1292" spans="1:5" x14ac:dyDescent="0.25">
      <c r="A1292" t="s">
        <v>1311</v>
      </c>
      <c r="B1292" t="s">
        <v>621</v>
      </c>
      <c r="C1292" t="s">
        <v>7</v>
      </c>
      <c r="D1292" t="s">
        <v>8</v>
      </c>
      <c r="E1292" t="s">
        <v>19</v>
      </c>
    </row>
    <row r="1293" spans="1:5" x14ac:dyDescent="0.25">
      <c r="A1293" t="s">
        <v>1312</v>
      </c>
      <c r="B1293" t="s">
        <v>621</v>
      </c>
      <c r="C1293" t="s">
        <v>14</v>
      </c>
      <c r="D1293" t="s">
        <v>11</v>
      </c>
      <c r="E1293" t="s">
        <v>9</v>
      </c>
    </row>
    <row r="1294" spans="1:5" x14ac:dyDescent="0.25">
      <c r="A1294" t="s">
        <v>1313</v>
      </c>
      <c r="B1294" t="s">
        <v>621</v>
      </c>
      <c r="C1294" t="s">
        <v>14</v>
      </c>
      <c r="D1294" t="s">
        <v>11</v>
      </c>
      <c r="E1294" t="s">
        <v>9</v>
      </c>
    </row>
    <row r="1295" spans="1:5" x14ac:dyDescent="0.25">
      <c r="A1295" t="s">
        <v>1314</v>
      </c>
      <c r="B1295" t="s">
        <v>621</v>
      </c>
      <c r="C1295" t="s">
        <v>14</v>
      </c>
      <c r="D1295" t="s">
        <v>11</v>
      </c>
      <c r="E1295" t="s">
        <v>9</v>
      </c>
    </row>
    <row r="1296" spans="1:5" x14ac:dyDescent="0.25">
      <c r="A1296" t="s">
        <v>1315</v>
      </c>
      <c r="B1296" t="s">
        <v>621</v>
      </c>
      <c r="C1296" t="s">
        <v>14</v>
      </c>
      <c r="D1296" t="s">
        <v>11</v>
      </c>
      <c r="E1296" t="s">
        <v>9</v>
      </c>
    </row>
    <row r="1297" spans="1:5" x14ac:dyDescent="0.25">
      <c r="A1297" t="s">
        <v>1316</v>
      </c>
      <c r="B1297" t="s">
        <v>621</v>
      </c>
      <c r="C1297" t="s">
        <v>14</v>
      </c>
      <c r="D1297" t="s">
        <v>11</v>
      </c>
      <c r="E1297" t="s">
        <v>9</v>
      </c>
    </row>
    <row r="1298" spans="1:5" x14ac:dyDescent="0.25">
      <c r="A1298" t="s">
        <v>1317</v>
      </c>
      <c r="B1298" t="s">
        <v>621</v>
      </c>
      <c r="C1298" t="s">
        <v>14</v>
      </c>
      <c r="D1298" t="s">
        <v>11</v>
      </c>
      <c r="E1298" t="s">
        <v>9</v>
      </c>
    </row>
    <row r="1299" spans="1:5" x14ac:dyDescent="0.25">
      <c r="A1299" t="s">
        <v>1318</v>
      </c>
      <c r="B1299" t="s">
        <v>621</v>
      </c>
      <c r="C1299" t="s">
        <v>14</v>
      </c>
      <c r="D1299" t="s">
        <v>11</v>
      </c>
      <c r="E1299" t="s">
        <v>9</v>
      </c>
    </row>
    <row r="1300" spans="1:5" x14ac:dyDescent="0.25">
      <c r="A1300" t="s">
        <v>1319</v>
      </c>
      <c r="B1300" t="s">
        <v>621</v>
      </c>
      <c r="C1300" t="s">
        <v>14</v>
      </c>
      <c r="D1300" t="s">
        <v>11</v>
      </c>
      <c r="E1300" t="s">
        <v>16</v>
      </c>
    </row>
    <row r="1301" spans="1:5" x14ac:dyDescent="0.25">
      <c r="A1301" t="s">
        <v>1320</v>
      </c>
      <c r="B1301" t="s">
        <v>621</v>
      </c>
      <c r="C1301" t="s">
        <v>14</v>
      </c>
      <c r="D1301" t="s">
        <v>11</v>
      </c>
      <c r="E1301" t="s">
        <v>9</v>
      </c>
    </row>
    <row r="1302" spans="1:5" x14ac:dyDescent="0.25">
      <c r="A1302" t="s">
        <v>1321</v>
      </c>
      <c r="B1302" t="s">
        <v>621</v>
      </c>
      <c r="C1302" t="s">
        <v>7</v>
      </c>
      <c r="D1302" t="s">
        <v>8</v>
      </c>
      <c r="E1302" t="s">
        <v>29</v>
      </c>
    </row>
    <row r="1303" spans="1:5" x14ac:dyDescent="0.25">
      <c r="A1303" t="s">
        <v>1322</v>
      </c>
      <c r="B1303" t="s">
        <v>621</v>
      </c>
      <c r="C1303" t="s">
        <v>14</v>
      </c>
      <c r="D1303" t="s">
        <v>11</v>
      </c>
      <c r="E1303" t="s">
        <v>19</v>
      </c>
    </row>
    <row r="1304" spans="1:5" x14ac:dyDescent="0.25">
      <c r="A1304" t="s">
        <v>1323</v>
      </c>
      <c r="B1304" t="s">
        <v>621</v>
      </c>
      <c r="C1304" t="s">
        <v>14</v>
      </c>
      <c r="D1304" t="s">
        <v>11</v>
      </c>
      <c r="E1304" t="s">
        <v>9</v>
      </c>
    </row>
    <row r="1305" spans="1:5" x14ac:dyDescent="0.25">
      <c r="A1305" t="s">
        <v>1324</v>
      </c>
      <c r="B1305" t="s">
        <v>621</v>
      </c>
      <c r="C1305" t="s">
        <v>14</v>
      </c>
      <c r="D1305" t="s">
        <v>11</v>
      </c>
      <c r="E1305" t="s">
        <v>9</v>
      </c>
    </row>
    <row r="1306" spans="1:5" x14ac:dyDescent="0.25">
      <c r="A1306" t="s">
        <v>1325</v>
      </c>
      <c r="B1306" t="s">
        <v>621</v>
      </c>
      <c r="C1306" t="s">
        <v>14</v>
      </c>
      <c r="D1306" t="s">
        <v>8</v>
      </c>
      <c r="E1306" t="s">
        <v>29</v>
      </c>
    </row>
    <row r="1307" spans="1:5" x14ac:dyDescent="0.25">
      <c r="A1307" t="s">
        <v>1326</v>
      </c>
      <c r="B1307" t="s">
        <v>621</v>
      </c>
      <c r="C1307" t="s">
        <v>14</v>
      </c>
      <c r="D1307" t="s">
        <v>8</v>
      </c>
      <c r="E1307" t="s">
        <v>9</v>
      </c>
    </row>
    <row r="1308" spans="1:5" x14ac:dyDescent="0.25">
      <c r="A1308" t="s">
        <v>1327</v>
      </c>
      <c r="B1308" t="s">
        <v>621</v>
      </c>
      <c r="C1308" t="s">
        <v>14</v>
      </c>
      <c r="D1308" t="s">
        <v>11</v>
      </c>
      <c r="E1308" t="s">
        <v>9</v>
      </c>
    </row>
    <row r="1309" spans="1:5" x14ac:dyDescent="0.25">
      <c r="A1309" t="s">
        <v>1328</v>
      </c>
      <c r="B1309" t="s">
        <v>621</v>
      </c>
      <c r="C1309" t="s">
        <v>14</v>
      </c>
      <c r="D1309" t="s">
        <v>11</v>
      </c>
      <c r="E1309" t="s">
        <v>9</v>
      </c>
    </row>
    <row r="1310" spans="1:5" x14ac:dyDescent="0.25">
      <c r="A1310" t="s">
        <v>1329</v>
      </c>
      <c r="B1310" t="s">
        <v>621</v>
      </c>
      <c r="C1310" t="s">
        <v>14</v>
      </c>
      <c r="D1310" t="s">
        <v>11</v>
      </c>
      <c r="E1310" t="s">
        <v>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47FB4-E6F8-48A4-B710-005DDC82B7AF}">
  <dimension ref="A1:E29"/>
  <sheetViews>
    <sheetView showGridLines="0" showRowColHeaders="0" tabSelected="1" zoomScaleNormal="100" workbookViewId="0">
      <selection activeCell="AA22" sqref="AA22"/>
      <extLst>
        <ext xmlns:xlsdti="http://schemas.microsoft.com/office/spreadsheetml/2023/showDataTypeIcons" uri="{77bfe23e-c014-4d31-8a63-9c772dbf06b6}">
          <xlsdti:showDataTypeIcons visible="0"/>
        </ext>
      </extLst>
    </sheetView>
  </sheetViews>
  <sheetFormatPr defaultRowHeight="15" x14ac:dyDescent="0.25"/>
  <sheetData>
    <row r="1" spans="1:3" x14ac:dyDescent="0.25">
      <c r="A1" s="5"/>
      <c r="B1" s="5"/>
      <c r="C1" s="5"/>
    </row>
    <row r="2" spans="1:3" x14ac:dyDescent="0.25">
      <c r="A2" s="5"/>
      <c r="B2" s="5"/>
      <c r="C2" s="5"/>
    </row>
    <row r="3" spans="1:3" x14ac:dyDescent="0.25">
      <c r="A3" s="5"/>
      <c r="B3" s="5"/>
      <c r="C3" s="5"/>
    </row>
    <row r="4" spans="1:3" x14ac:dyDescent="0.25">
      <c r="A4" s="5"/>
      <c r="B4" s="5"/>
      <c r="C4" s="5"/>
    </row>
    <row r="5" spans="1:3" x14ac:dyDescent="0.25">
      <c r="A5" s="5"/>
      <c r="B5" s="5"/>
      <c r="C5" s="5"/>
    </row>
    <row r="29" spans="5:5" ht="22.5" x14ac:dyDescent="0.3">
      <c r="E29" s="9"/>
    </row>
  </sheetData>
  <mergeCells count="1">
    <mergeCell ref="A1:C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FE1636-F9DF-4518-B205-A18472DEF70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Detail1</vt:lpstr>
      <vt:lpstr>Survival</vt:lpstr>
      <vt:lpstr>class</vt:lpstr>
      <vt:lpstr>Sheet4</vt:lpstr>
      <vt:lpstr>gender</vt:lpstr>
      <vt:lpstr>Sheet6</vt:lpstr>
      <vt:lpstr>Sheet2</vt:lpstr>
      <vt:lpstr>Titanic Clean DataSet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MIAN MUSE</dc:creator>
  <cp:lastModifiedBy>MIAN MUSE</cp:lastModifiedBy>
  <dcterms:created xsi:type="dcterms:W3CDTF">2026-02-28T03:47:09Z</dcterms:created>
  <dcterms:modified xsi:type="dcterms:W3CDTF">2026-02-28T18:15:38Z</dcterms:modified>
</cp:coreProperties>
</file>